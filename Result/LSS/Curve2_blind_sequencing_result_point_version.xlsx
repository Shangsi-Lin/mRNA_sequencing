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ngsilin/Desktop/Autumn 2025/mRNA_sequencing/Result/LSS/"/>
    </mc:Choice>
  </mc:AlternateContent>
  <xr:revisionPtr revIDLastSave="0" documentId="13_ncr:1_{B8BDE39B-C6B1-4040-82D3-A06BEFE7EBA6}" xr6:coauthVersionLast="47" xr6:coauthVersionMax="47" xr10:uidLastSave="{00000000-0000-0000-0000-000000000000}"/>
  <bookViews>
    <workbookView xWindow="0" yWindow="760" windowWidth="34560" windowHeight="19480" activeTab="10" xr2:uid="{00000000-000D-0000-FFFF-FFFF00000000}"/>
  </bookViews>
  <sheets>
    <sheet name="non filtered" sheetId="2" r:id="rId1"/>
    <sheet name="sheet2" sheetId="1" r:id="rId2"/>
    <sheet name="105 U nucleoside start" sheetId="3" r:id="rId3"/>
    <sheet name="105 U internal start" sheetId="4" r:id="rId4"/>
    <sheet name="triphosphate start" sheetId="5" r:id="rId5"/>
    <sheet name="triphosphate_start_59U" sheetId="6" r:id="rId6"/>
    <sheet name="20U_76A" sheetId="8" r:id="rId7"/>
    <sheet name="nucleoside_start_charge1" sheetId="7" r:id="rId8"/>
    <sheet name="nucleoside_start_Na" sheetId="9" r:id="rId9"/>
    <sheet name="internal_start_Na" sheetId="10" r:id="rId10"/>
    <sheet name="theoretical_ladder_polyU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0" l="1"/>
  <c r="H7" i="10" s="1"/>
  <c r="H8" i="10" s="1"/>
  <c r="H9" i="10" s="1"/>
  <c r="H10" i="10" s="1"/>
  <c r="H5" i="10"/>
  <c r="B2" i="5"/>
  <c r="K1" i="4"/>
  <c r="C18" i="4"/>
  <c r="D19" i="4"/>
  <c r="H31" i="4"/>
  <c r="H32" i="4" s="1"/>
  <c r="H33" i="4" s="1"/>
  <c r="H34" i="4" s="1"/>
  <c r="H35" i="4" s="1"/>
  <c r="H36" i="4" s="1"/>
  <c r="H30" i="4"/>
  <c r="H24" i="4"/>
  <c r="H25" i="4" s="1"/>
  <c r="H26" i="4" s="1"/>
  <c r="H23" i="4"/>
  <c r="H18" i="4"/>
  <c r="B19" i="4"/>
  <c r="I2" i="4"/>
  <c r="M18" i="4"/>
  <c r="L18" i="4"/>
  <c r="H17" i="4"/>
  <c r="G1" i="5"/>
  <c r="I412" i="2"/>
  <c r="I411" i="2"/>
  <c r="H411" i="2"/>
  <c r="I885" i="2"/>
  <c r="H885" i="2"/>
  <c r="G885" i="2"/>
</calcChain>
</file>

<file path=xl/sharedStrings.xml><?xml version="1.0" encoding="utf-8"?>
<sst xmlns="http://schemas.openxmlformats.org/spreadsheetml/2006/main" count="6072" uniqueCount="448">
  <si>
    <t>base_name</t>
  </si>
  <si>
    <t>monoisotopic_mass</t>
  </si>
  <si>
    <t>sum_intensity</t>
  </si>
  <si>
    <t>apex_rt</t>
  </si>
  <si>
    <t>n_iteration</t>
  </si>
  <si>
    <t>ladder_number</t>
  </si>
  <si>
    <t>C</t>
  </si>
  <si>
    <t>ladder1</t>
  </si>
  <si>
    <t>A</t>
  </si>
  <si>
    <t>U</t>
  </si>
  <si>
    <t>G</t>
  </si>
  <si>
    <t>High</t>
  </si>
  <si>
    <t>ladder2</t>
  </si>
  <si>
    <t>ladder3</t>
  </si>
  <si>
    <t>ladder4</t>
  </si>
  <si>
    <t>ladder5</t>
  </si>
  <si>
    <t>ladder6</t>
  </si>
  <si>
    <t>ladder7</t>
  </si>
  <si>
    <t>ladder8</t>
  </si>
  <si>
    <t>ladder9</t>
  </si>
  <si>
    <t>ladder10</t>
  </si>
  <si>
    <t>ladder11</t>
  </si>
  <si>
    <t>ladder12</t>
  </si>
  <si>
    <t>ladder13</t>
  </si>
  <si>
    <t>ladder14</t>
  </si>
  <si>
    <t>ladder15</t>
  </si>
  <si>
    <t>ladder16</t>
  </si>
  <si>
    <t>ladder17</t>
  </si>
  <si>
    <t>ladder18</t>
  </si>
  <si>
    <t>ladder19</t>
  </si>
  <si>
    <t>ladder20</t>
  </si>
  <si>
    <t>ladder21</t>
  </si>
  <si>
    <t>ladder22</t>
  </si>
  <si>
    <t>ladder23</t>
  </si>
  <si>
    <t>ladder24</t>
  </si>
  <si>
    <t>ladder25</t>
  </si>
  <si>
    <t>ladder26</t>
  </si>
  <si>
    <t>ladder27</t>
  </si>
  <si>
    <t>ladder28</t>
  </si>
  <si>
    <t>ladder29</t>
  </si>
  <si>
    <t>ladder30</t>
  </si>
  <si>
    <t>ladder31</t>
  </si>
  <si>
    <t>ladder32</t>
  </si>
  <si>
    <t>ladder33</t>
  </si>
  <si>
    <t>ladder34</t>
  </si>
  <si>
    <t>ladder35</t>
  </si>
  <si>
    <t>ladder36</t>
  </si>
  <si>
    <t>ladder37</t>
  </si>
  <si>
    <t>ladder38</t>
  </si>
  <si>
    <t>ladder39</t>
  </si>
  <si>
    <t>ladder40</t>
  </si>
  <si>
    <t>ladder41</t>
  </si>
  <si>
    <t>ladder42</t>
  </si>
  <si>
    <t>ladder43</t>
  </si>
  <si>
    <t>ladder44</t>
  </si>
  <si>
    <t>ladder45</t>
  </si>
  <si>
    <t>ladder46</t>
  </si>
  <si>
    <t>ladder47</t>
  </si>
  <si>
    <t>ladder48</t>
  </si>
  <si>
    <t>ladder49</t>
  </si>
  <si>
    <t>ladder50</t>
  </si>
  <si>
    <t>ladder51</t>
  </si>
  <si>
    <t>ladder52</t>
  </si>
  <si>
    <t>ladder53</t>
  </si>
  <si>
    <t>ladder54</t>
  </si>
  <si>
    <t>ladder55</t>
  </si>
  <si>
    <t>ladder56</t>
  </si>
  <si>
    <t>ladder57</t>
  </si>
  <si>
    <t>ladder58</t>
  </si>
  <si>
    <t>ladder59</t>
  </si>
  <si>
    <t>ladder60</t>
  </si>
  <si>
    <t>ladder61</t>
  </si>
  <si>
    <t>ladder62</t>
  </si>
  <si>
    <t>ladder63</t>
  </si>
  <si>
    <t>ladder64</t>
  </si>
  <si>
    <t>ladder65</t>
  </si>
  <si>
    <t>ladder66</t>
  </si>
  <si>
    <t>ladder67</t>
  </si>
  <si>
    <t>ladder68</t>
  </si>
  <si>
    <t>ladder69</t>
  </si>
  <si>
    <t>ladder70</t>
  </si>
  <si>
    <t>ladder71</t>
  </si>
  <si>
    <t>ladder72</t>
  </si>
  <si>
    <t>ladder73</t>
  </si>
  <si>
    <t>ladder74</t>
  </si>
  <si>
    <t>ladder75</t>
  </si>
  <si>
    <t>ladder76</t>
  </si>
  <si>
    <t>ladder77</t>
  </si>
  <si>
    <t>ladder78</t>
  </si>
  <si>
    <t>ladder79</t>
  </si>
  <si>
    <t>ladder80</t>
  </si>
  <si>
    <t>ladder81</t>
  </si>
  <si>
    <t>ladder82</t>
  </si>
  <si>
    <t>ladder83</t>
  </si>
  <si>
    <t>ladder84</t>
  </si>
  <si>
    <t>ladder85</t>
  </si>
  <si>
    <t>ladder86</t>
  </si>
  <si>
    <t>ladder87</t>
  </si>
  <si>
    <t>ladder88</t>
  </si>
  <si>
    <t>ladder89</t>
  </si>
  <si>
    <t>ladder90</t>
  </si>
  <si>
    <t>ladder91</t>
  </si>
  <si>
    <t>ladder92</t>
  </si>
  <si>
    <t>ladder93</t>
  </si>
  <si>
    <t>ladder94</t>
  </si>
  <si>
    <t>ladder95</t>
  </si>
  <si>
    <t>ladder96</t>
  </si>
  <si>
    <t>ladder97</t>
  </si>
  <si>
    <t>ladder98</t>
  </si>
  <si>
    <t>ladder99</t>
  </si>
  <si>
    <t>ladder100</t>
  </si>
  <si>
    <t>ladder101</t>
  </si>
  <si>
    <t>ladder102</t>
  </si>
  <si>
    <t>ladder103</t>
  </si>
  <si>
    <t>ladder104</t>
  </si>
  <si>
    <t>ladder105</t>
  </si>
  <si>
    <t>ladder106</t>
  </si>
  <si>
    <t>ladder107</t>
  </si>
  <si>
    <t>ladder108</t>
  </si>
  <si>
    <t>ladder109</t>
  </si>
  <si>
    <t>ladder110</t>
  </si>
  <si>
    <t>ladder111</t>
  </si>
  <si>
    <t>ladder112</t>
  </si>
  <si>
    <t>ladder113</t>
  </si>
  <si>
    <t>ladder114</t>
  </si>
  <si>
    <t>ladder115</t>
  </si>
  <si>
    <t>ladder116</t>
  </si>
  <si>
    <t>ladder117</t>
  </si>
  <si>
    <t>ladder118</t>
  </si>
  <si>
    <t>ladder119</t>
  </si>
  <si>
    <t>ladder120</t>
  </si>
  <si>
    <t>ladder121</t>
  </si>
  <si>
    <t>ladder122</t>
  </si>
  <si>
    <t>ladder123</t>
  </si>
  <si>
    <t>ladder124</t>
  </si>
  <si>
    <t>ladder125</t>
  </si>
  <si>
    <t>ladder126</t>
  </si>
  <si>
    <t>ladder127</t>
  </si>
  <si>
    <t>ladder128</t>
  </si>
  <si>
    <t>ladder129</t>
  </si>
  <si>
    <t>ladder130</t>
  </si>
  <si>
    <t>ladder131</t>
  </si>
  <si>
    <t>ladder132</t>
  </si>
  <si>
    <t>ladder133</t>
  </si>
  <si>
    <t>ladder134</t>
  </si>
  <si>
    <t>ladder135</t>
  </si>
  <si>
    <t>ladder136</t>
  </si>
  <si>
    <t>ladder137</t>
  </si>
  <si>
    <t>ladder138</t>
  </si>
  <si>
    <t>ladder139</t>
  </si>
  <si>
    <t>ladder140</t>
  </si>
  <si>
    <t>ladder141</t>
  </si>
  <si>
    <t>ladder142</t>
  </si>
  <si>
    <t>ladder143</t>
  </si>
  <si>
    <t>ladder144</t>
  </si>
  <si>
    <t>ladder145</t>
  </si>
  <si>
    <t>ladder146</t>
  </si>
  <si>
    <t>ladder147</t>
  </si>
  <si>
    <t>ladder148</t>
  </si>
  <si>
    <t>ladder149</t>
  </si>
  <si>
    <t>ladder150</t>
  </si>
  <si>
    <t>ladder151</t>
  </si>
  <si>
    <t>ladder152</t>
  </si>
  <si>
    <t>ladder153</t>
  </si>
  <si>
    <t>ladder154</t>
  </si>
  <si>
    <t>ladder155</t>
  </si>
  <si>
    <t>ladder156</t>
  </si>
  <si>
    <t>ladder157</t>
  </si>
  <si>
    <t>ladder158</t>
  </si>
  <si>
    <t>ladder159</t>
  </si>
  <si>
    <t>ladder160</t>
  </si>
  <si>
    <t>ladder161</t>
  </si>
  <si>
    <t>ladder162</t>
  </si>
  <si>
    <t>ladder163</t>
  </si>
  <si>
    <t>ladder164</t>
  </si>
  <si>
    <t>ladder165</t>
  </si>
  <si>
    <t>ladder166</t>
  </si>
  <si>
    <t>ladder167</t>
  </si>
  <si>
    <t>ladder168</t>
  </si>
  <si>
    <t>ladder169</t>
  </si>
  <si>
    <t>ladder170</t>
  </si>
  <si>
    <t>ladder171</t>
  </si>
  <si>
    <t>ladder172</t>
  </si>
  <si>
    <t>ladder173</t>
  </si>
  <si>
    <t>ladder174</t>
  </si>
  <si>
    <t>ladder175</t>
  </si>
  <si>
    <t>ladder176</t>
  </si>
  <si>
    <t>ladder177</t>
  </si>
  <si>
    <t>ladder178</t>
  </si>
  <si>
    <t>ladder179</t>
  </si>
  <si>
    <t>ladder180</t>
  </si>
  <si>
    <t>ladder181</t>
  </si>
  <si>
    <t>ladder182</t>
  </si>
  <si>
    <t>ladder183</t>
  </si>
  <si>
    <t>ladder184</t>
  </si>
  <si>
    <t>ladder185</t>
  </si>
  <si>
    <t>ladder186</t>
  </si>
  <si>
    <t>ladder187</t>
  </si>
  <si>
    <t>ladder188</t>
  </si>
  <si>
    <t>ladder189</t>
  </si>
  <si>
    <t>ladder190</t>
  </si>
  <si>
    <t>ladder191</t>
  </si>
  <si>
    <t>ladder192</t>
  </si>
  <si>
    <t>ladder193</t>
  </si>
  <si>
    <t>ladder194</t>
  </si>
  <si>
    <t>ladder195</t>
  </si>
  <si>
    <t>ladder196</t>
  </si>
  <si>
    <t>ladder197</t>
  </si>
  <si>
    <t>ladder198</t>
  </si>
  <si>
    <t>ladder199</t>
  </si>
  <si>
    <t>ladder200</t>
  </si>
  <si>
    <t>ladder201</t>
  </si>
  <si>
    <t>ladder202</t>
  </si>
  <si>
    <t>ladder203</t>
  </si>
  <si>
    <t>ladder204</t>
  </si>
  <si>
    <t>ladder205</t>
  </si>
  <si>
    <t>ladder206</t>
  </si>
  <si>
    <t>ladder207</t>
  </si>
  <si>
    <t>ladder208</t>
  </si>
  <si>
    <t>ladder209</t>
  </si>
  <si>
    <t>ladder210</t>
  </si>
  <si>
    <t>ladder211</t>
  </si>
  <si>
    <t>ladder212</t>
  </si>
  <si>
    <t>ladder213</t>
  </si>
  <si>
    <t>ladder214</t>
  </si>
  <si>
    <t>ladder215</t>
  </si>
  <si>
    <t>ladder216</t>
  </si>
  <si>
    <t>ladder217</t>
  </si>
  <si>
    <t>ladder218</t>
  </si>
  <si>
    <t>ladder219</t>
  </si>
  <si>
    <t>ladder220</t>
  </si>
  <si>
    <t>ladder221</t>
  </si>
  <si>
    <t>ladder222</t>
  </si>
  <si>
    <t>ladder223</t>
  </si>
  <si>
    <t>ladder224</t>
  </si>
  <si>
    <t>ladder225</t>
  </si>
  <si>
    <t>ladder226</t>
  </si>
  <si>
    <t>5U combination</t>
  </si>
  <si>
    <t>20 Us</t>
  </si>
  <si>
    <t>theoretical_mass</t>
  </si>
  <si>
    <t>n_position</t>
  </si>
  <si>
    <t>relative_abundance</t>
  </si>
  <si>
    <t>Nothing found</t>
  </si>
  <si>
    <t>Co</t>
  </si>
  <si>
    <t>Co2+</t>
  </si>
  <si>
    <t>without Co</t>
  </si>
  <si>
    <t>with Co</t>
  </si>
  <si>
    <t>Nothing observed</t>
  </si>
  <si>
    <t>nucleoside ending confirmed</t>
  </si>
  <si>
    <t>phosphate ending confirmed</t>
  </si>
  <si>
    <t xml:space="preserve"> will require 50 ppm</t>
  </si>
  <si>
    <t>will require 50 ppm</t>
  </si>
  <si>
    <t>end with nucleoside</t>
  </si>
  <si>
    <t>end with phosphate</t>
  </si>
  <si>
    <t>start with nucleoside</t>
  </si>
  <si>
    <t>Note: probably mismatch</t>
  </si>
  <si>
    <t>ppm condition</t>
  </si>
  <si>
    <t>result</t>
  </si>
  <si>
    <t>theoretical ladder</t>
  </si>
  <si>
    <t>native</t>
  </si>
  <si>
    <t>no match</t>
  </si>
  <si>
    <t>6 matches</t>
  </si>
  <si>
    <t>Co adduct</t>
  </si>
  <si>
    <t>1 matches</t>
  </si>
  <si>
    <t>5'</t>
  </si>
  <si>
    <t>2 matches</t>
  </si>
  <si>
    <t>Water</t>
  </si>
  <si>
    <t>theoretical_ladder</t>
  </si>
  <si>
    <t>50 ppm needed</t>
  </si>
  <si>
    <t>10 ppm: No match found</t>
  </si>
  <si>
    <t>3'</t>
  </si>
  <si>
    <t>UUUUUUUUUUUUUUUUUUUUU</t>
  </si>
  <si>
    <t>UUUUUUUUUUUUUUUUUUUUA</t>
  </si>
  <si>
    <t>UUUUUUUUUUUUUUUUUUUUCA</t>
  </si>
  <si>
    <t>UUUUUUUUUUUUUUUUUUUUAC</t>
  </si>
  <si>
    <t>UUUUUUUUUUUUUUUUUUUUCUUU</t>
  </si>
  <si>
    <t>UUUUUUUUUUUUUUUUUUUUUCUU</t>
  </si>
  <si>
    <t>UUUUUUUUUUUUUUUUUUUUUUCU</t>
  </si>
  <si>
    <t>UUUUUUUUUUUUUUUUUUUUUUUC</t>
  </si>
  <si>
    <t>UUUUUUUUUUUUUUUUUUUUCUA</t>
  </si>
  <si>
    <t>UUUUUUUUUUUUUUUUUUUUUCA</t>
  </si>
  <si>
    <t>UUUUUUUUUUUUUUUUUUUUCAU</t>
  </si>
  <si>
    <t>UUUUUUUUUUUUUUUUUUUUACU</t>
  </si>
  <si>
    <t>UUUUUUUUUUUUUUUUUUUUUAC</t>
  </si>
  <si>
    <t>UUUUUUUUUUUUUUUUUUUUAUC</t>
  </si>
  <si>
    <t>UUUUUUUUUUUUUUUUUUUUUUU</t>
  </si>
  <si>
    <t>UUUUUUUUUUUUUUUUUUUUUU</t>
  </si>
  <si>
    <t>UUUUUUUUUUUUUUUUUUUUGGUA</t>
  </si>
  <si>
    <t>UUUUUUUUUUUUUUUUUUUUGUGA</t>
  </si>
  <si>
    <t>UUUUUUUUUUUUUUUUUUUUUGGA</t>
  </si>
  <si>
    <t>UUUUUUUUUUUUUUUUUUUUGGAU</t>
  </si>
  <si>
    <t>UUUUUUUUUUUUUUUUUUUUGAGU</t>
  </si>
  <si>
    <t>UUUUUUUUUUUUUUUUUUUUAGGU</t>
  </si>
  <si>
    <t>UUUUUUUUUUUUUUUUUUUUGUAG</t>
  </si>
  <si>
    <t>UUUUUUUUUUUUUUUUUUUUUGAG</t>
  </si>
  <si>
    <t>UUUUUUUUUUUUUUUUUUUUGAUG</t>
  </si>
  <si>
    <t>UUUUUUUUUUUUUUUUUUUUAGUG</t>
  </si>
  <si>
    <t>UUUUUUUUUUUUUUUUUUUUUAGG</t>
  </si>
  <si>
    <t>UUUUUUUUUUUUUUUUUUUUAUGG</t>
  </si>
  <si>
    <t>UUUUUUUUUUUUUUUUUUUUCUAA</t>
  </si>
  <si>
    <t>UUUUUUUUUUUUUUUUUUUUUCAA</t>
  </si>
  <si>
    <t>UUUUUUUUUUUUUUUUUUUUCAUA</t>
  </si>
  <si>
    <t>UUUUUUUUUUUUUUUUUUUUACUA</t>
  </si>
  <si>
    <t>UUUUUUUUUUUUUUUUUUUUUACA</t>
  </si>
  <si>
    <t>UUUUUUUUUUUUUUUUUUUUAUCA</t>
  </si>
  <si>
    <t>UUUUUUUUUUUUUUUUUUUUCAAU</t>
  </si>
  <si>
    <t>UUUUUUUUUUUUUUUUUUUUACAU</t>
  </si>
  <si>
    <t>UUUUUUUUUUUUUUUUUUUUAACU</t>
  </si>
  <si>
    <t>UUUUUUUUUUUUUUUUUUUUUAAC</t>
  </si>
  <si>
    <t>UUUUUUUUUUUUUUUUUUUUAUAC</t>
  </si>
  <si>
    <t>UUUUUUUUUUUUUUUUUUUUAAUC</t>
  </si>
  <si>
    <t>UUUUUUUUUUUUUUUUUUUUGCUA</t>
  </si>
  <si>
    <t>UUUUUUUUUUUUUUUUUUUUCGUA</t>
  </si>
  <si>
    <t>UUUUUUUUUUUUUUUUUUUUGUCA</t>
  </si>
  <si>
    <t>UUUUUUUUUUUUUUUUUUUUUGCA</t>
  </si>
  <si>
    <t>UUUUUUUUUUUUUUUUUUUUCUGA</t>
  </si>
  <si>
    <t>UUUUUUUUUUUUUUUUUUUUUCGA</t>
  </si>
  <si>
    <t>UUUUUUUUUUUUUUUUUUUUGCAU</t>
  </si>
  <si>
    <t>UUUUUUUUUUUUUUUUUUUUCGAU</t>
  </si>
  <si>
    <t>UUUUUUUUUUUUUUUUUUUUGACU</t>
  </si>
  <si>
    <t>UUUUUUUUUUUUUUUUUUUUAGCU</t>
  </si>
  <si>
    <t>UUUUUUUUUUUUUUUUUUUUCAGU</t>
  </si>
  <si>
    <t>UUUUUUUUUUUUUUUUUUUUACGU</t>
  </si>
  <si>
    <t>UUUUUUUUUUUUUUUUUUUUGUAC</t>
  </si>
  <si>
    <t>UUUUUUUUUUUUUUUUUUUUUGAC</t>
  </si>
  <si>
    <t>UUUUUUUUUUUUUUUUUUUUGAUC</t>
  </si>
  <si>
    <t>UUUUUUUUUUUUUUUUUUUUAGUC</t>
  </si>
  <si>
    <t>UUUUUUUUUUUUUUUUUUUUUAGC</t>
  </si>
  <si>
    <t>UUUUUUUUUUUUUUUUUUUUAUGC</t>
  </si>
  <si>
    <t>UUUUUUUUUUUUUUUUUUUUCUAG</t>
  </si>
  <si>
    <t>UUUUUUUUUUUUUUUUUUUUUCAG</t>
  </si>
  <si>
    <t>UUUUUUUUUUUUUUUUUUUUCAUG</t>
  </si>
  <si>
    <t>UUUUUUUUUUUUUUUUUUUUACUG</t>
  </si>
  <si>
    <t>UUUUUUUUUUUUUUUUUUUUUACG</t>
  </si>
  <si>
    <t>UUUUUUUUUUUUUUUUUUUUAUCG</t>
  </si>
  <si>
    <t>UUUUUUUUUUUUUUUUUUUUCUU</t>
  </si>
  <si>
    <t>UUUUUUUUUUUUUUUUUUUUUCU</t>
  </si>
  <si>
    <t>UUUUUUUUUUUUUUUUUUUUUUC</t>
  </si>
  <si>
    <t>UUUUUUUUUUUUUUUUUUUUGCAA</t>
  </si>
  <si>
    <t>UUUUUUUUUUUUUUUUUUUUCGAA</t>
  </si>
  <si>
    <t>UUUUUUUUUUUUUUUUUUUUGACA</t>
  </si>
  <si>
    <t>UUUUUUUUUUUUUUUUUUUUAGCA</t>
  </si>
  <si>
    <t>UUUUUUUUUUUUUUUUUUUUCAGA</t>
  </si>
  <si>
    <t>UUUUUUUUUUUUUUUUUUUUACGA</t>
  </si>
  <si>
    <t>UUUUUUUUUUUUUUUUUUUUGAAC</t>
  </si>
  <si>
    <t>UUUUUUUUUUUUUUUUUUUUAGAC</t>
  </si>
  <si>
    <t>UUUUUUUUUUUUUUUUUUUUAAGC</t>
  </si>
  <si>
    <t>UUUUUUUUUUUUUUUUUUUUCAAG</t>
  </si>
  <si>
    <t>UUUUUUUUUUUUUUUUUUUUACAG</t>
  </si>
  <si>
    <t>UUUUUUUUUUUUUUUUUUUUAACG</t>
  </si>
  <si>
    <t>UUUUUUUUUUUUUUUUUUUUUUUU</t>
  </si>
  <si>
    <t>UUUUUUUUUUUUUUUUUUUUGGAA</t>
  </si>
  <si>
    <t>UUUUUUUUUUUUUUUUUUUUGAGA</t>
  </si>
  <si>
    <t>UUUUUUUUUUUUUUUUUUUUAGGA</t>
  </si>
  <si>
    <t>UUUUUUUUUUUUUUUUUUUUGAAG</t>
  </si>
  <si>
    <t>UUUUUUUUUUUUUUUUUUUUAGAG</t>
  </si>
  <si>
    <t>UUUUUUUUUUUUUUUUUUUUAAGG</t>
  </si>
  <si>
    <t>UUUUUUUUUUUUUUUUUUUUUAAA</t>
  </si>
  <si>
    <t>UUUUUUUUUUUUUUUUUUUUAUAA</t>
  </si>
  <si>
    <t>UUUUUUUUUUUUUUUUUUUUAAUA</t>
  </si>
  <si>
    <t>UUUUUUUUUUUUUUUUUUUUAAAU</t>
  </si>
  <si>
    <t>UUUUUUUUUUUUUUUUUUUUCCUA</t>
  </si>
  <si>
    <t>UUUUUUUUUUUUUUUUUUUUCUCA</t>
  </si>
  <si>
    <t>UUUUUUUUUUUUUUUUUUUUUCCA</t>
  </si>
  <si>
    <t>UUUUUUUUUUUUUUUUUUUUCCAU</t>
  </si>
  <si>
    <t>UUUUUUUUUUUUUUUUUUUUCACU</t>
  </si>
  <si>
    <t>UUUUUUUUUUUUUUUUUUUUACCU</t>
  </si>
  <si>
    <t>UUUUUUUUUUUUUUUUUUUUCUAC</t>
  </si>
  <si>
    <t>UUUUUUUUUUUUUUUUUUUUUCAC</t>
  </si>
  <si>
    <t>UUUUUUUUUUUUUUUUUUUUCAUC</t>
  </si>
  <si>
    <t>UUUUUUUUUUUUUUUUUUUUACUC</t>
  </si>
  <si>
    <t>UUUUUUUUUUUUUUUUUUUUUACC</t>
  </si>
  <si>
    <t>UUUUUUUUUUUUUUUUUUUUAUCC</t>
  </si>
  <si>
    <t>UUUUUUUUUUUUUUUUUUUUGUU</t>
  </si>
  <si>
    <t>UUUUUUUUUUUUUUUUUUUUUGU</t>
  </si>
  <si>
    <t>UUUUUUUUUUUUUUUUUUUUUUG</t>
  </si>
  <si>
    <t>UUUUUUUUUUUUUUUUUUUUGU</t>
  </si>
  <si>
    <t>UUUUUUUUUUUUUUUUUUUUUG</t>
  </si>
  <si>
    <t>UUUUUUUUUUUUUUUUUUUUGGU</t>
  </si>
  <si>
    <t>UUUUUUUUUUUUUUUUUUUUGUG</t>
  </si>
  <si>
    <t>UUUUUUUUUUUUUUUUUUUUUGG</t>
  </si>
  <si>
    <t>UUUUUUUUUUUUUUUUUUUUC</t>
  </si>
  <si>
    <t>UUUUUUUUUUUUUUUUUUUUUA</t>
  </si>
  <si>
    <t>UUUUUUUUUUUUUUUUUUUUAU</t>
  </si>
  <si>
    <t>UUUUUUUUUUUUUUUUUUUUGG</t>
  </si>
  <si>
    <t>UUUUUUUUUUUUUUUUUUUUCCU</t>
  </si>
  <si>
    <t>UUUUUUUUUUUUUUUUUUUUCUC</t>
  </si>
  <si>
    <t>UUUUUUUUUUUUUUUUUUUUUCC</t>
  </si>
  <si>
    <t>UUUUUUUUUUUUUUUUUUUUCCAA</t>
  </si>
  <si>
    <t>UUUUUUUUUUUUUUUUUUUUCACA</t>
  </si>
  <si>
    <t>UUUUUUUUUUUUUUUUUUUUACCA</t>
  </si>
  <si>
    <t>UUUUUUUUUUUUUUUUUUUUCAAC</t>
  </si>
  <si>
    <t>UUUUUUUUUUUUUUUUUUUUACAC</t>
  </si>
  <si>
    <t>UUUUUUUUUUUUUUUUUUUUAACC</t>
  </si>
  <si>
    <t>UUUUUUUUUUUUUUUUUUUUGGUU</t>
  </si>
  <si>
    <t>UUUUUUUUUUUUUUUUUUUUGUGU</t>
  </si>
  <si>
    <t>UUUUUUUUUUUUUUUUUUUUUGGU</t>
  </si>
  <si>
    <t>UUUUUUUUUUUUUUUUUUUUGUUG</t>
  </si>
  <si>
    <t>UUUUUUUUUUUUUUUUUUUUUGUG</t>
  </si>
  <si>
    <t>UUUUUUUUUUUUUUUUUUUUUUGG</t>
  </si>
  <si>
    <t>UUUUUUUUUUUUUUUUUUUUGGA</t>
  </si>
  <si>
    <t>UUUUUUUUUUUUUUUUUUUUGAG</t>
  </si>
  <si>
    <t>UUUUUUUUUUUUUUUUUUUUAGG</t>
  </si>
  <si>
    <t>UUUUUUUUUUUUUUUUUUUUCCUU</t>
  </si>
  <si>
    <t>UUUUUUUUUUUUUUUUUUUUCUCU</t>
  </si>
  <si>
    <t>UUUUUUUUUUUUUUUUUUUUUCCU</t>
  </si>
  <si>
    <t>UUUUUUUUUUUUUUUUUUUUCUUC</t>
  </si>
  <si>
    <t>UUUUUUUUUUUUUUUUUUUUUCUC</t>
  </si>
  <si>
    <t>UUUUUUUUUUUUUUUUUUUUUUCC</t>
  </si>
  <si>
    <t>UUUUUUUUUUUUUUUUUUUUGGGU</t>
  </si>
  <si>
    <t>UUUUUUUUUUUUUUUUUUUUGGUG</t>
  </si>
  <si>
    <t>UUUUUUUUUUUUUUUUUUUUGUGG</t>
  </si>
  <si>
    <t>UUUUUUUUUUUUUUUUUUUUUGGG</t>
  </si>
  <si>
    <t>UUUUUUUUUUUUUUUUUUUUGGGA</t>
  </si>
  <si>
    <t>UUUUUUUUUUUUUUUUUUUUGGAG</t>
  </si>
  <si>
    <t>UUUUUUUUUUUUUUUUUUUUGAGG</t>
  </si>
  <si>
    <t>UUUUUUUUUUUUUUUUUUUUAGGG</t>
  </si>
  <si>
    <t>UUUUUUUUUUUUUUUUUUUUGUAA</t>
  </si>
  <si>
    <t>UUUUUUUUUUUUUUUUUUUUUGAA</t>
  </si>
  <si>
    <t>UUUUUUUUUUUUUUUUUUUUGAUA</t>
  </si>
  <si>
    <t>UUUUUUUUUUUUUUUUUUUUAGUA</t>
  </si>
  <si>
    <t>UUUUUUUUUUUUUUUUUUUUUAGA</t>
  </si>
  <si>
    <t>UUUUUUUUUUUUUUUUUUUUAUGA</t>
  </si>
  <si>
    <t>UUUUUUUUUUUUUUUUUUUUGAAU</t>
  </si>
  <si>
    <t>UUUUUUUUUUUUUUUUUUUUAGAU</t>
  </si>
  <si>
    <t>UUUUUUUUUUUUUUUUUUUUAAGU</t>
  </si>
  <si>
    <t>UUUUUUUUUUUUUUUUUUUUUAAG</t>
  </si>
  <si>
    <t>UUUUUUUUUUUUUUUUUUUUAUAG</t>
  </si>
  <si>
    <t>UUUUUUUUUUUUUUUUUUUUAAUG</t>
  </si>
  <si>
    <t>UUUUUUUUUUUUUUUUUUUUGUUU</t>
  </si>
  <si>
    <t>UUUUUUUUUUUUUUUUUUUUUGUU</t>
  </si>
  <si>
    <t>UUUUUUUUUUUUUUUUUUUUUUGU</t>
  </si>
  <si>
    <t>UUUUUUUUUUUUUUUUUUUUUUUG</t>
  </si>
  <si>
    <t>UUUUUUUUUUUUUUUUUUUUCCA</t>
  </si>
  <si>
    <t>UUUUUUUUUUUUUUUUUUUUCAC</t>
  </si>
  <si>
    <t>UUUUUUUUUUUUUUUUUUUUACC</t>
  </si>
  <si>
    <t>UUUUUUUUUUUUUUUUUUUUUUUA</t>
  </si>
  <si>
    <t>UUUUUUUUUUUUUUUUUUUUUUAU</t>
  </si>
  <si>
    <t>UUUUUUUUUUUUUUUUUUUUUAUU</t>
  </si>
  <si>
    <t>UUUUUUUUUUUUUUUUUUUUAUUU</t>
  </si>
  <si>
    <t>UUUUUUUUUUUUUUUUUUUUGCU</t>
  </si>
  <si>
    <t>UUUUUUUUUUUUUUUUUUUUCGU</t>
  </si>
  <si>
    <t>UUUUUUUUUUUUUUUUUUUUGUC</t>
  </si>
  <si>
    <t>UUUUUUUUUUUUUUUUUUUUUGC</t>
  </si>
  <si>
    <t>UUUUUUUUUUUUUUUUUUUUCUG</t>
  </si>
  <si>
    <t>UUUUUUUUUUUUUUUUUUUUUCG</t>
  </si>
  <si>
    <t>UUUUUUUUUUUUUUUUUUUUGGGG</t>
  </si>
  <si>
    <t>FULL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</si>
</sst>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Lucida Grande"/>
      <family val="2"/>
    </font>
    <font>
      <b/>
      <sz val="16"/>
      <color rgb="FF001D35"/>
      <name val="Arial"/>
      <family val="2"/>
    </font>
    <font>
      <b/>
      <sz val="11"/>
      <color rgb="FF000000"/>
      <name val="Lucida Grande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4" fillId="0" borderId="0" xfId="0" applyFont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4" fillId="5" borderId="0" xfId="0" applyFont="1" applyFill="1"/>
    <xf numFmtId="0" fontId="0" fillId="6" borderId="0" xfId="0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F0C1-66C2-5D45-AEF1-5EA9319083DC}">
  <dimension ref="A1:I2001"/>
  <sheetViews>
    <sheetView topLeftCell="A399" zoomScale="136" workbookViewId="0">
      <selection activeCell="H426" sqref="H426"/>
    </sheetView>
  </sheetViews>
  <sheetFormatPr baseColWidth="10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1610.19160734036</v>
      </c>
      <c r="C2">
        <v>327848.90000000002</v>
      </c>
      <c r="D2">
        <v>0.75310868577957202</v>
      </c>
      <c r="E2">
        <v>1</v>
      </c>
      <c r="F2" t="s">
        <v>7</v>
      </c>
    </row>
    <row r="3" spans="1:6" x14ac:dyDescent="0.2">
      <c r="A3" t="s">
        <v>8</v>
      </c>
      <c r="B3">
        <v>1915.2285709382099</v>
      </c>
      <c r="C3">
        <v>865419.77</v>
      </c>
      <c r="D3">
        <v>0.87054953532218904</v>
      </c>
      <c r="E3">
        <v>1</v>
      </c>
      <c r="F3" t="s">
        <v>7</v>
      </c>
    </row>
    <row r="4" spans="1:6" x14ac:dyDescent="0.2">
      <c r="A4" t="s">
        <v>9</v>
      </c>
      <c r="B4">
        <v>2244.28669240202</v>
      </c>
      <c r="C4">
        <v>1083917.9099999999</v>
      </c>
      <c r="D4">
        <v>1.0196155285517401</v>
      </c>
      <c r="E4">
        <v>1</v>
      </c>
      <c r="F4" t="s">
        <v>7</v>
      </c>
    </row>
    <row r="5" spans="1:6" x14ac:dyDescent="0.2">
      <c r="A5" t="s">
        <v>10</v>
      </c>
      <c r="B5">
        <v>2550.3134584353302</v>
      </c>
      <c r="C5">
        <v>1946651.21</v>
      </c>
      <c r="D5">
        <v>1.32228308674494</v>
      </c>
      <c r="E5">
        <v>1</v>
      </c>
      <c r="F5" t="s">
        <v>7</v>
      </c>
    </row>
    <row r="6" spans="1:6" x14ac:dyDescent="0.2">
      <c r="A6" t="s">
        <v>6</v>
      </c>
      <c r="B6">
        <v>2895.3680560202001</v>
      </c>
      <c r="C6">
        <v>1822441.31</v>
      </c>
      <c r="D6">
        <v>2.1896585698604598</v>
      </c>
      <c r="E6">
        <v>1</v>
      </c>
      <c r="F6" t="s">
        <v>7</v>
      </c>
    </row>
    <row r="7" spans="1:6" x14ac:dyDescent="0.2">
      <c r="A7" t="s">
        <v>11</v>
      </c>
      <c r="B7">
        <v>3200.4054045932498</v>
      </c>
      <c r="C7">
        <v>3504836.84</v>
      </c>
      <c r="D7">
        <v>3.4816359932899501</v>
      </c>
      <c r="E7">
        <v>1</v>
      </c>
      <c r="F7" t="s">
        <v>7</v>
      </c>
    </row>
    <row r="8" spans="1:6" x14ac:dyDescent="0.2">
      <c r="A8" t="s">
        <v>10</v>
      </c>
      <c r="B8">
        <v>3545.4541705933002</v>
      </c>
      <c r="C8">
        <v>1853116.92</v>
      </c>
      <c r="D8">
        <v>4.4123856361389198</v>
      </c>
      <c r="E8">
        <v>1</v>
      </c>
      <c r="F8" t="s">
        <v>7</v>
      </c>
    </row>
    <row r="9" spans="1:6" x14ac:dyDescent="0.2">
      <c r="A9" t="s">
        <v>9</v>
      </c>
      <c r="B9">
        <v>3851.4813907734701</v>
      </c>
      <c r="C9">
        <v>1649092.63</v>
      </c>
      <c r="D9">
        <v>5.2529161369482704</v>
      </c>
      <c r="E9">
        <v>1</v>
      </c>
      <c r="F9" t="s">
        <v>7</v>
      </c>
    </row>
    <row r="10" spans="1:6" x14ac:dyDescent="0.2">
      <c r="A10" t="s">
        <v>8</v>
      </c>
      <c r="B10">
        <v>4180.5377012830104</v>
      </c>
      <c r="C10">
        <v>2153757.66</v>
      </c>
      <c r="D10">
        <v>6.1477922931988997</v>
      </c>
      <c r="E10">
        <v>1</v>
      </c>
      <c r="F10" t="s">
        <v>7</v>
      </c>
    </row>
    <row r="11" spans="1:6" x14ac:dyDescent="0.2">
      <c r="A11" t="s">
        <v>8</v>
      </c>
      <c r="B11">
        <v>4509.59416487006</v>
      </c>
      <c r="C11">
        <v>1596634.88</v>
      </c>
      <c r="D11">
        <v>6.8982393697579703</v>
      </c>
      <c r="E11">
        <v>1</v>
      </c>
      <c r="F11" t="s">
        <v>7</v>
      </c>
    </row>
    <row r="12" spans="1:6" x14ac:dyDescent="0.2">
      <c r="A12" t="s">
        <v>6</v>
      </c>
      <c r="B12">
        <v>4814.6336241297904</v>
      </c>
      <c r="C12">
        <v>1830987.59</v>
      </c>
      <c r="D12">
        <v>7.2871672606150302</v>
      </c>
      <c r="E12">
        <v>1</v>
      </c>
      <c r="F12" t="s">
        <v>7</v>
      </c>
    </row>
    <row r="13" spans="1:6" x14ac:dyDescent="0.2">
      <c r="A13" t="s">
        <v>10</v>
      </c>
      <c r="B13">
        <v>5159.6881940630301</v>
      </c>
      <c r="C13">
        <v>1985966.55</v>
      </c>
      <c r="D13">
        <v>7.6807436362584403</v>
      </c>
      <c r="E13">
        <v>1</v>
      </c>
      <c r="F13" t="s">
        <v>7</v>
      </c>
    </row>
    <row r="14" spans="1:6" x14ac:dyDescent="0.2">
      <c r="A14" t="s">
        <v>10</v>
      </c>
      <c r="B14">
        <v>5504.7367296762404</v>
      </c>
      <c r="C14">
        <v>1621052.23</v>
      </c>
      <c r="D14">
        <v>8.0382720863501191</v>
      </c>
      <c r="E14">
        <v>1</v>
      </c>
      <c r="F14" t="s">
        <v>7</v>
      </c>
    </row>
    <row r="15" spans="1:6" x14ac:dyDescent="0.2">
      <c r="A15" t="s">
        <v>8</v>
      </c>
      <c r="B15">
        <v>5833.7908303618597</v>
      </c>
      <c r="C15">
        <v>2092011.62</v>
      </c>
      <c r="D15">
        <v>8.5499259765625002</v>
      </c>
      <c r="E15">
        <v>1</v>
      </c>
      <c r="F15" t="s">
        <v>7</v>
      </c>
    </row>
    <row r="16" spans="1:6" x14ac:dyDescent="0.2">
      <c r="A16" t="s">
        <v>10</v>
      </c>
      <c r="B16">
        <v>6178.8495014207601</v>
      </c>
      <c r="C16">
        <v>715947.07</v>
      </c>
      <c r="D16">
        <v>8.8171853279749506</v>
      </c>
      <c r="E16">
        <v>1</v>
      </c>
      <c r="F16" t="s">
        <v>7</v>
      </c>
    </row>
    <row r="17" spans="1:6" x14ac:dyDescent="0.2">
      <c r="A17" t="s">
        <v>9</v>
      </c>
      <c r="B17">
        <v>6484.8715518344197</v>
      </c>
      <c r="C17">
        <v>660058.37</v>
      </c>
      <c r="D17">
        <v>9.0619451121171295</v>
      </c>
      <c r="E17">
        <v>1</v>
      </c>
      <c r="F17" t="s">
        <v>7</v>
      </c>
    </row>
    <row r="18" spans="1:6" x14ac:dyDescent="0.2">
      <c r="A18" t="s">
        <v>9</v>
      </c>
      <c r="B18">
        <v>6790.9011887298102</v>
      </c>
      <c r="C18">
        <v>393170.84</v>
      </c>
      <c r="D18">
        <v>9.2976035789330798</v>
      </c>
      <c r="E18">
        <v>1</v>
      </c>
      <c r="F18" t="s">
        <v>7</v>
      </c>
    </row>
    <row r="19" spans="1:6" x14ac:dyDescent="0.2">
      <c r="A19" t="s">
        <v>8</v>
      </c>
      <c r="B19">
        <v>7119.9447986812702</v>
      </c>
      <c r="C19">
        <v>364115.87</v>
      </c>
      <c r="D19">
        <v>9.8415162280877393</v>
      </c>
      <c r="E19">
        <v>1</v>
      </c>
      <c r="F19" t="s">
        <v>7</v>
      </c>
    </row>
    <row r="20" spans="1:6" x14ac:dyDescent="0.2">
      <c r="A20" t="s">
        <v>9</v>
      </c>
      <c r="B20">
        <v>7425.97363764281</v>
      </c>
      <c r="C20">
        <v>151901.69</v>
      </c>
      <c r="D20">
        <v>9.9594076609293598</v>
      </c>
      <c r="E20">
        <v>1</v>
      </c>
      <c r="F20" t="s">
        <v>7</v>
      </c>
    </row>
    <row r="21" spans="1:6" x14ac:dyDescent="0.2">
      <c r="A21" t="s">
        <v>10</v>
      </c>
      <c r="B21">
        <v>7771.0116374301397</v>
      </c>
      <c r="C21">
        <v>130730.31</v>
      </c>
      <c r="D21">
        <v>10.1679811870734</v>
      </c>
      <c r="E21">
        <v>1</v>
      </c>
      <c r="F21" t="s">
        <v>7</v>
      </c>
    </row>
    <row r="22" spans="1:6" x14ac:dyDescent="0.2">
      <c r="A22" t="s">
        <v>6</v>
      </c>
      <c r="B22">
        <v>8076.0626110843496</v>
      </c>
      <c r="C22">
        <v>112192.95</v>
      </c>
      <c r="D22">
        <v>10.3221977448146</v>
      </c>
      <c r="E22">
        <v>1</v>
      </c>
      <c r="F22" t="s">
        <v>7</v>
      </c>
    </row>
    <row r="23" spans="1:6" x14ac:dyDescent="0.2">
      <c r="A23" t="s">
        <v>6</v>
      </c>
      <c r="B23">
        <v>8381.0779953800702</v>
      </c>
      <c r="C23">
        <v>127111.89</v>
      </c>
      <c r="D23">
        <v>10.376607669957499</v>
      </c>
      <c r="E23">
        <v>1</v>
      </c>
      <c r="F23" t="s">
        <v>7</v>
      </c>
    </row>
    <row r="24" spans="1:6" x14ac:dyDescent="0.2">
      <c r="A24" t="s">
        <v>8</v>
      </c>
      <c r="B24">
        <v>8710.1507296369491</v>
      </c>
      <c r="C24">
        <v>201799.45</v>
      </c>
      <c r="D24">
        <v>10.7395170028687</v>
      </c>
      <c r="E24">
        <v>1</v>
      </c>
      <c r="F24" t="s">
        <v>7</v>
      </c>
    </row>
    <row r="25" spans="1:6" x14ac:dyDescent="0.2">
      <c r="A25" t="s">
        <v>9</v>
      </c>
      <c r="B25">
        <v>9016.18390718099</v>
      </c>
      <c r="C25">
        <v>130656.05</v>
      </c>
      <c r="D25">
        <v>10.857465302514999</v>
      </c>
      <c r="E25">
        <v>1</v>
      </c>
      <c r="F25" t="s">
        <v>7</v>
      </c>
    </row>
    <row r="26" spans="1:6" x14ac:dyDescent="0.2">
      <c r="A26" t="s">
        <v>6</v>
      </c>
      <c r="B26">
        <v>9321.2284088632896</v>
      </c>
      <c r="C26">
        <v>126476.97</v>
      </c>
      <c r="D26">
        <v>10.920996711222299</v>
      </c>
      <c r="E26">
        <v>1</v>
      </c>
      <c r="F26" t="s">
        <v>7</v>
      </c>
    </row>
    <row r="27" spans="1:6" x14ac:dyDescent="0.2">
      <c r="A27" t="s">
        <v>10</v>
      </c>
      <c r="B27">
        <v>9666.2756528594</v>
      </c>
      <c r="C27">
        <v>108888.39</v>
      </c>
      <c r="D27">
        <v>11.070738935041399</v>
      </c>
      <c r="E27">
        <v>1</v>
      </c>
      <c r="F27" t="s">
        <v>7</v>
      </c>
    </row>
    <row r="28" spans="1:6" x14ac:dyDescent="0.2">
      <c r="A28" t="s">
        <v>8</v>
      </c>
      <c r="B28">
        <v>9995.2904698079201</v>
      </c>
      <c r="C28">
        <v>125277.57</v>
      </c>
      <c r="D28">
        <v>11.401891169516199</v>
      </c>
      <c r="E28">
        <v>1</v>
      </c>
      <c r="F28" t="s">
        <v>7</v>
      </c>
    </row>
    <row r="29" spans="1:6" x14ac:dyDescent="0.2">
      <c r="A29" t="s">
        <v>6</v>
      </c>
      <c r="B29">
        <v>10300.3429281803</v>
      </c>
      <c r="C29">
        <v>109135.81</v>
      </c>
      <c r="D29">
        <v>11.4291141863346</v>
      </c>
      <c r="E29">
        <v>1</v>
      </c>
      <c r="F29" t="s">
        <v>7</v>
      </c>
    </row>
    <row r="30" spans="1:6" x14ac:dyDescent="0.2">
      <c r="A30" t="s">
        <v>6</v>
      </c>
      <c r="B30">
        <v>10605.369871528799</v>
      </c>
      <c r="C30">
        <v>73542.320000000007</v>
      </c>
      <c r="D30">
        <v>11.4608730450948</v>
      </c>
      <c r="E30">
        <v>1</v>
      </c>
      <c r="F30" t="s">
        <v>7</v>
      </c>
    </row>
    <row r="31" spans="1:6" x14ac:dyDescent="0.2">
      <c r="A31" t="s">
        <v>8</v>
      </c>
      <c r="B31">
        <v>2283.3086969745</v>
      </c>
      <c r="C31">
        <v>1830361.46</v>
      </c>
      <c r="D31">
        <v>1.0512361283779099</v>
      </c>
      <c r="E31">
        <v>2</v>
      </c>
      <c r="F31" t="s">
        <v>12</v>
      </c>
    </row>
    <row r="32" spans="1:6" x14ac:dyDescent="0.2">
      <c r="A32" t="s">
        <v>9</v>
      </c>
      <c r="B32">
        <v>2612.3639876993502</v>
      </c>
      <c r="C32">
        <v>1800253.4</v>
      </c>
      <c r="D32">
        <v>1.8011496201833099</v>
      </c>
      <c r="E32">
        <v>2</v>
      </c>
      <c r="F32" t="s">
        <v>12</v>
      </c>
    </row>
    <row r="33" spans="1:6" x14ac:dyDescent="0.2">
      <c r="A33" t="s">
        <v>6</v>
      </c>
      <c r="B33">
        <v>2918.39552866433</v>
      </c>
      <c r="C33">
        <v>866422.6</v>
      </c>
      <c r="D33">
        <v>2.9711724873066001</v>
      </c>
      <c r="E33">
        <v>2</v>
      </c>
      <c r="F33" t="s">
        <v>12</v>
      </c>
    </row>
    <row r="34" spans="1:6" x14ac:dyDescent="0.2">
      <c r="A34" t="s">
        <v>9</v>
      </c>
      <c r="B34">
        <v>3223.4349478576501</v>
      </c>
      <c r="C34">
        <v>1687033</v>
      </c>
      <c r="D34">
        <v>3.9605501786549899</v>
      </c>
      <c r="E34">
        <v>2</v>
      </c>
      <c r="F34" t="s">
        <v>12</v>
      </c>
    </row>
    <row r="35" spans="1:6" x14ac:dyDescent="0.2">
      <c r="A35" t="s">
        <v>9</v>
      </c>
      <c r="B35">
        <v>3529.4571530057301</v>
      </c>
      <c r="C35">
        <v>1833521.89</v>
      </c>
      <c r="D35">
        <v>4.8010087624867799</v>
      </c>
      <c r="E35">
        <v>2</v>
      </c>
      <c r="F35" t="s">
        <v>12</v>
      </c>
    </row>
    <row r="36" spans="1:6" x14ac:dyDescent="0.2">
      <c r="A36" t="s">
        <v>11</v>
      </c>
      <c r="B36">
        <v>3835.4855616644099</v>
      </c>
      <c r="C36">
        <v>3040213.78</v>
      </c>
      <c r="D36">
        <v>5.4879047031879402</v>
      </c>
      <c r="E36">
        <v>2</v>
      </c>
      <c r="F36" t="s">
        <v>12</v>
      </c>
    </row>
    <row r="37" spans="1:6" x14ac:dyDescent="0.2">
      <c r="A37" t="s">
        <v>8</v>
      </c>
      <c r="B37">
        <v>4164.5420321550901</v>
      </c>
      <c r="C37">
        <v>1196829.01</v>
      </c>
      <c r="D37">
        <v>6.4506761785030404</v>
      </c>
      <c r="E37">
        <v>2</v>
      </c>
      <c r="F37" t="s">
        <v>12</v>
      </c>
    </row>
    <row r="38" spans="1:6" x14ac:dyDescent="0.2">
      <c r="A38" t="s">
        <v>8</v>
      </c>
      <c r="B38">
        <v>4493.6027150620903</v>
      </c>
      <c r="C38">
        <v>1109034.8400000001</v>
      </c>
      <c r="D38">
        <v>7.2328901525020601</v>
      </c>
      <c r="E38">
        <v>2</v>
      </c>
      <c r="F38" t="s">
        <v>12</v>
      </c>
    </row>
    <row r="39" spans="1:6" x14ac:dyDescent="0.2">
      <c r="A39" t="s">
        <v>6</v>
      </c>
      <c r="B39">
        <v>4798.6368534597204</v>
      </c>
      <c r="C39">
        <v>1628338.23</v>
      </c>
      <c r="D39">
        <v>7.4997938370386796</v>
      </c>
      <c r="E39">
        <v>2</v>
      </c>
      <c r="F39" t="s">
        <v>12</v>
      </c>
    </row>
    <row r="40" spans="1:6" x14ac:dyDescent="0.2">
      <c r="A40" t="s">
        <v>10</v>
      </c>
      <c r="B40">
        <v>5143.6934900664</v>
      </c>
      <c r="C40">
        <v>1738608.6399999999</v>
      </c>
      <c r="D40">
        <v>7.8300619359493204</v>
      </c>
      <c r="E40">
        <v>2</v>
      </c>
      <c r="F40" t="s">
        <v>12</v>
      </c>
    </row>
    <row r="41" spans="1:6" x14ac:dyDescent="0.2">
      <c r="A41" t="s">
        <v>10</v>
      </c>
      <c r="B41">
        <v>5488.7455469463603</v>
      </c>
      <c r="C41">
        <v>1447447.64</v>
      </c>
      <c r="D41">
        <v>8.2510596112092305</v>
      </c>
      <c r="E41">
        <v>2</v>
      </c>
      <c r="F41" t="s">
        <v>12</v>
      </c>
    </row>
    <row r="42" spans="1:6" x14ac:dyDescent="0.2">
      <c r="A42" t="s">
        <v>6</v>
      </c>
      <c r="B42">
        <v>5793.7791273733401</v>
      </c>
      <c r="C42">
        <v>1423729.13</v>
      </c>
      <c r="D42">
        <v>8.4276596522013296</v>
      </c>
      <c r="E42">
        <v>2</v>
      </c>
      <c r="F42" t="s">
        <v>12</v>
      </c>
    </row>
    <row r="43" spans="1:6" x14ac:dyDescent="0.2">
      <c r="A43" t="s">
        <v>8</v>
      </c>
      <c r="B43">
        <v>6122.8427465775503</v>
      </c>
      <c r="C43">
        <v>511264.37</v>
      </c>
      <c r="D43">
        <v>8.9078380798975605</v>
      </c>
      <c r="E43">
        <v>2</v>
      </c>
      <c r="F43" t="s">
        <v>12</v>
      </c>
    </row>
    <row r="44" spans="1:6" x14ac:dyDescent="0.2">
      <c r="A44" t="s">
        <v>10</v>
      </c>
      <c r="B44">
        <v>6467.8814341532998</v>
      </c>
      <c r="C44">
        <v>949710.81</v>
      </c>
      <c r="D44">
        <v>9.20696947929064</v>
      </c>
      <c r="E44">
        <v>2</v>
      </c>
      <c r="F44" t="s">
        <v>12</v>
      </c>
    </row>
    <row r="45" spans="1:6" x14ac:dyDescent="0.2">
      <c r="A45" t="s">
        <v>6</v>
      </c>
      <c r="B45">
        <v>6772.9166071795498</v>
      </c>
      <c r="C45">
        <v>707204.17</v>
      </c>
      <c r="D45">
        <v>9.3882361785252897</v>
      </c>
      <c r="E45">
        <v>2</v>
      </c>
      <c r="F45" t="s">
        <v>12</v>
      </c>
    </row>
    <row r="46" spans="1:6" x14ac:dyDescent="0.2">
      <c r="A46" t="s">
        <v>9</v>
      </c>
      <c r="B46">
        <v>7078.9524293053901</v>
      </c>
      <c r="C46">
        <v>642192.98</v>
      </c>
      <c r="D46">
        <v>9.6329748367945296</v>
      </c>
      <c r="E46">
        <v>2</v>
      </c>
      <c r="F46" t="s">
        <v>12</v>
      </c>
    </row>
    <row r="47" spans="1:6" x14ac:dyDescent="0.2">
      <c r="A47" t="s">
        <v>10</v>
      </c>
      <c r="B47">
        <v>7424.0006705495498</v>
      </c>
      <c r="C47">
        <v>434775.03</v>
      </c>
      <c r="D47">
        <v>9.7780419782479608</v>
      </c>
      <c r="E47">
        <v>2</v>
      </c>
      <c r="F47" t="s">
        <v>12</v>
      </c>
    </row>
    <row r="48" spans="1:6" x14ac:dyDescent="0.2">
      <c r="A48" t="s">
        <v>8</v>
      </c>
      <c r="B48">
        <v>7753.0621964042302</v>
      </c>
      <c r="C48">
        <v>431380.97</v>
      </c>
      <c r="D48">
        <v>10.199732354847599</v>
      </c>
      <c r="E48">
        <v>2</v>
      </c>
      <c r="F48" t="s">
        <v>12</v>
      </c>
    </row>
    <row r="49" spans="1:6" x14ac:dyDescent="0.2">
      <c r="A49" t="s">
        <v>6</v>
      </c>
      <c r="B49">
        <v>8058.0881251906103</v>
      </c>
      <c r="C49">
        <v>151226.51999999999</v>
      </c>
      <c r="D49">
        <v>10.3221977448146</v>
      </c>
      <c r="E49">
        <v>2</v>
      </c>
      <c r="F49" t="s">
        <v>12</v>
      </c>
    </row>
    <row r="50" spans="1:6" x14ac:dyDescent="0.2">
      <c r="A50" t="s">
        <v>6</v>
      </c>
      <c r="B50">
        <v>8363.0803803071303</v>
      </c>
      <c r="C50">
        <v>61917.83</v>
      </c>
      <c r="D50">
        <v>10.3494007126172</v>
      </c>
      <c r="E50">
        <v>2</v>
      </c>
      <c r="F50" t="s">
        <v>12</v>
      </c>
    </row>
    <row r="51" spans="1:6" x14ac:dyDescent="0.2">
      <c r="A51" t="s">
        <v>9</v>
      </c>
      <c r="B51">
        <v>8669.1099845338704</v>
      </c>
      <c r="C51">
        <v>150608.10999999999</v>
      </c>
      <c r="D51">
        <v>10.5308376963615</v>
      </c>
      <c r="E51">
        <v>2</v>
      </c>
      <c r="F51" t="s">
        <v>12</v>
      </c>
    </row>
    <row r="52" spans="1:6" x14ac:dyDescent="0.2">
      <c r="A52" t="s">
        <v>8</v>
      </c>
      <c r="B52">
        <v>8998.1389028319409</v>
      </c>
      <c r="C52">
        <v>147477.76999999999</v>
      </c>
      <c r="D52">
        <v>10.8892314946334</v>
      </c>
      <c r="E52">
        <v>2</v>
      </c>
      <c r="F52" t="s">
        <v>12</v>
      </c>
    </row>
    <row r="53" spans="1:6" x14ac:dyDescent="0.2">
      <c r="A53" t="s">
        <v>6</v>
      </c>
      <c r="B53">
        <v>9303.1627675815907</v>
      </c>
      <c r="C53">
        <v>25813.3</v>
      </c>
      <c r="D53">
        <v>10.857465302514999</v>
      </c>
      <c r="E53">
        <v>2</v>
      </c>
      <c r="F53" t="s">
        <v>12</v>
      </c>
    </row>
    <row r="54" spans="1:6" x14ac:dyDescent="0.2">
      <c r="A54" t="s">
        <v>6</v>
      </c>
      <c r="B54">
        <v>9608.2064124898898</v>
      </c>
      <c r="C54">
        <v>19202.25</v>
      </c>
      <c r="D54">
        <v>10.9799767946879</v>
      </c>
      <c r="E54">
        <v>2</v>
      </c>
      <c r="F54" t="s">
        <v>12</v>
      </c>
    </row>
    <row r="55" spans="1:6" x14ac:dyDescent="0.2">
      <c r="A55" t="s">
        <v>9</v>
      </c>
      <c r="B55">
        <v>9914.25786883613</v>
      </c>
      <c r="C55">
        <v>28621.67</v>
      </c>
      <c r="D55">
        <v>11.038978453048101</v>
      </c>
      <c r="E55">
        <v>2</v>
      </c>
      <c r="F55" t="s">
        <v>12</v>
      </c>
    </row>
    <row r="56" spans="1:6" x14ac:dyDescent="0.2">
      <c r="A56" t="s">
        <v>9</v>
      </c>
      <c r="B56">
        <v>1288.1659800182099</v>
      </c>
      <c r="C56">
        <v>420092.79</v>
      </c>
      <c r="D56">
        <v>0.80731301066080696</v>
      </c>
      <c r="E56">
        <v>3</v>
      </c>
      <c r="F56" t="s">
        <v>13</v>
      </c>
    </row>
    <row r="57" spans="1:6" x14ac:dyDescent="0.2">
      <c r="A57" t="s">
        <v>9</v>
      </c>
      <c r="B57">
        <v>1594.1936248499801</v>
      </c>
      <c r="C57">
        <v>314013.25</v>
      </c>
      <c r="D57">
        <v>0.89764954404830899</v>
      </c>
      <c r="E57">
        <v>3</v>
      </c>
      <c r="F57" t="s">
        <v>13</v>
      </c>
    </row>
    <row r="58" spans="1:6" x14ac:dyDescent="0.2">
      <c r="A58" t="s">
        <v>6</v>
      </c>
      <c r="B58">
        <v>1900.2197900378501</v>
      </c>
      <c r="C58">
        <v>642297.56000000006</v>
      </c>
      <c r="D58">
        <v>0.98799588637351998</v>
      </c>
      <c r="E58">
        <v>3</v>
      </c>
      <c r="F58" t="s">
        <v>13</v>
      </c>
    </row>
    <row r="59" spans="1:6" x14ac:dyDescent="0.2">
      <c r="A59" t="s">
        <v>9</v>
      </c>
      <c r="B59">
        <v>2205.2650340519199</v>
      </c>
      <c r="C59">
        <v>626767.56000000006</v>
      </c>
      <c r="D59">
        <v>1.0196155285517401</v>
      </c>
      <c r="E59">
        <v>3</v>
      </c>
      <c r="F59" t="s">
        <v>13</v>
      </c>
    </row>
    <row r="60" spans="1:6" x14ac:dyDescent="0.2">
      <c r="A60" t="s">
        <v>10</v>
      </c>
      <c r="B60">
        <v>2511.2892890099201</v>
      </c>
      <c r="C60">
        <v>606752.19999999995</v>
      </c>
      <c r="D60">
        <v>2.0405815020879099</v>
      </c>
      <c r="E60">
        <v>3</v>
      </c>
      <c r="F60" t="s">
        <v>13</v>
      </c>
    </row>
    <row r="61" spans="1:6" x14ac:dyDescent="0.2">
      <c r="A61" t="s">
        <v>8</v>
      </c>
      <c r="B61">
        <v>2856.3425225257201</v>
      </c>
      <c r="C61">
        <v>822367.47</v>
      </c>
      <c r="D61">
        <v>2.39745846149127</v>
      </c>
      <c r="E61">
        <v>3</v>
      </c>
      <c r="F61" t="s">
        <v>13</v>
      </c>
    </row>
    <row r="62" spans="1:6" x14ac:dyDescent="0.2">
      <c r="A62" t="s">
        <v>6</v>
      </c>
      <c r="B62">
        <v>3185.3949141956</v>
      </c>
      <c r="C62">
        <v>937851.53</v>
      </c>
      <c r="D62">
        <v>4.7106352444171904</v>
      </c>
      <c r="E62">
        <v>3</v>
      </c>
      <c r="F62" t="s">
        <v>13</v>
      </c>
    </row>
    <row r="63" spans="1:6" x14ac:dyDescent="0.2">
      <c r="A63" t="s">
        <v>9</v>
      </c>
      <c r="B63">
        <v>3490.4346652151999</v>
      </c>
      <c r="C63">
        <v>842811.94</v>
      </c>
      <c r="D63">
        <v>5.1308935439268701</v>
      </c>
      <c r="E63">
        <v>3</v>
      </c>
      <c r="F63" t="s">
        <v>13</v>
      </c>
    </row>
    <row r="64" spans="1:6" x14ac:dyDescent="0.2">
      <c r="A64" t="s">
        <v>10</v>
      </c>
      <c r="B64">
        <v>3796.4617229167602</v>
      </c>
      <c r="C64">
        <v>493680.77</v>
      </c>
      <c r="D64">
        <v>6.0031435604572296</v>
      </c>
      <c r="E64">
        <v>3</v>
      </c>
      <c r="F64" t="s">
        <v>13</v>
      </c>
    </row>
    <row r="65" spans="1:6" x14ac:dyDescent="0.2">
      <c r="A65" t="s">
        <v>6</v>
      </c>
      <c r="B65">
        <v>4141.5132454197501</v>
      </c>
      <c r="C65">
        <v>908612.37</v>
      </c>
      <c r="D65">
        <v>6.1206648703098301</v>
      </c>
      <c r="E65">
        <v>3</v>
      </c>
      <c r="F65" t="s">
        <v>13</v>
      </c>
    </row>
    <row r="66" spans="1:6" x14ac:dyDescent="0.2">
      <c r="A66" t="s">
        <v>10</v>
      </c>
      <c r="B66">
        <v>4446.5636946264603</v>
      </c>
      <c r="C66">
        <v>777481.17</v>
      </c>
      <c r="D66">
        <v>6.5094394937833204</v>
      </c>
      <c r="E66">
        <v>3</v>
      </c>
      <c r="F66" t="s">
        <v>13</v>
      </c>
    </row>
    <row r="67" spans="1:6" x14ac:dyDescent="0.2">
      <c r="A67" t="s">
        <v>8</v>
      </c>
      <c r="B67">
        <v>4791.6114521503196</v>
      </c>
      <c r="C67">
        <v>1050796.18</v>
      </c>
      <c r="D67">
        <v>7.0791212037881204</v>
      </c>
      <c r="E67">
        <v>3</v>
      </c>
      <c r="F67" t="s">
        <v>13</v>
      </c>
    </row>
    <row r="68" spans="1:6" x14ac:dyDescent="0.2">
      <c r="A68" t="s">
        <v>6</v>
      </c>
      <c r="B68">
        <v>5120.6665383645804</v>
      </c>
      <c r="C68">
        <v>1428151.7</v>
      </c>
      <c r="D68">
        <v>7.7395614460786204</v>
      </c>
      <c r="E68">
        <v>3</v>
      </c>
      <c r="F68" t="s">
        <v>13</v>
      </c>
    </row>
    <row r="69" spans="1:6" x14ac:dyDescent="0.2">
      <c r="A69" t="s">
        <v>11</v>
      </c>
      <c r="B69">
        <v>5425.7022309860104</v>
      </c>
      <c r="C69">
        <v>2192108.52</v>
      </c>
      <c r="D69">
        <v>7.9205819860776296</v>
      </c>
      <c r="E69">
        <v>3</v>
      </c>
      <c r="F69" t="s">
        <v>13</v>
      </c>
    </row>
    <row r="70" spans="1:6" x14ac:dyDescent="0.2">
      <c r="A70" t="s">
        <v>8</v>
      </c>
      <c r="B70">
        <v>5754.75651905629</v>
      </c>
      <c r="C70">
        <v>1911519.62</v>
      </c>
      <c r="D70">
        <v>8.4276596522013296</v>
      </c>
      <c r="E70">
        <v>3</v>
      </c>
      <c r="F70" t="s">
        <v>13</v>
      </c>
    </row>
    <row r="71" spans="1:6" x14ac:dyDescent="0.2">
      <c r="A71" t="s">
        <v>9</v>
      </c>
      <c r="B71">
        <v>6060.7906813211002</v>
      </c>
      <c r="C71">
        <v>1047807.91</v>
      </c>
      <c r="D71">
        <v>8.6993728454589796</v>
      </c>
      <c r="E71">
        <v>3</v>
      </c>
      <c r="F71" t="s">
        <v>13</v>
      </c>
    </row>
    <row r="72" spans="1:6" x14ac:dyDescent="0.2">
      <c r="A72" t="s">
        <v>10</v>
      </c>
      <c r="B72">
        <v>6405.8451915049</v>
      </c>
      <c r="C72">
        <v>580786.03</v>
      </c>
      <c r="D72">
        <v>8.9984834865411099</v>
      </c>
      <c r="E72">
        <v>3</v>
      </c>
      <c r="F72" t="s">
        <v>13</v>
      </c>
    </row>
    <row r="73" spans="1:6" x14ac:dyDescent="0.2">
      <c r="A73" t="s">
        <v>10</v>
      </c>
      <c r="B73">
        <v>6750.8930971790196</v>
      </c>
      <c r="C73">
        <v>510126.47</v>
      </c>
      <c r="D73">
        <v>9.2432260270595492</v>
      </c>
      <c r="E73">
        <v>3</v>
      </c>
      <c r="F73" t="s">
        <v>13</v>
      </c>
    </row>
    <row r="74" spans="1:6" x14ac:dyDescent="0.2">
      <c r="A74" t="s">
        <v>9</v>
      </c>
      <c r="B74">
        <v>7056.9166695851</v>
      </c>
      <c r="C74">
        <v>568101.68999999994</v>
      </c>
      <c r="D74">
        <v>9.5423348780155202</v>
      </c>
      <c r="E74">
        <v>3</v>
      </c>
      <c r="F74" t="s">
        <v>13</v>
      </c>
    </row>
    <row r="75" spans="1:6" x14ac:dyDescent="0.2">
      <c r="A75" t="s">
        <v>6</v>
      </c>
      <c r="B75">
        <v>7361.9656072707903</v>
      </c>
      <c r="C75">
        <v>699774.11</v>
      </c>
      <c r="D75">
        <v>9.6329748367945296</v>
      </c>
      <c r="E75">
        <v>3</v>
      </c>
      <c r="F75" t="s">
        <v>13</v>
      </c>
    </row>
    <row r="76" spans="1:6" x14ac:dyDescent="0.2">
      <c r="A76" t="s">
        <v>8</v>
      </c>
      <c r="B76">
        <v>2260.2824891465798</v>
      </c>
      <c r="C76">
        <v>962018.53</v>
      </c>
      <c r="D76">
        <v>0.96089091854095499</v>
      </c>
      <c r="E76">
        <v>4</v>
      </c>
      <c r="F76" t="s">
        <v>14</v>
      </c>
    </row>
    <row r="77" spans="1:6" x14ac:dyDescent="0.2">
      <c r="A77" t="s">
        <v>10</v>
      </c>
      <c r="B77">
        <v>2589.33803234687</v>
      </c>
      <c r="C77">
        <v>1766666.93</v>
      </c>
      <c r="D77">
        <v>1.29066340284348</v>
      </c>
      <c r="E77">
        <v>4</v>
      </c>
      <c r="F77" t="s">
        <v>14</v>
      </c>
    </row>
    <row r="78" spans="1:6" x14ac:dyDescent="0.2">
      <c r="A78" t="s">
        <v>11</v>
      </c>
      <c r="B78">
        <v>2934.3853591321599</v>
      </c>
      <c r="C78">
        <v>1871143.99</v>
      </c>
      <c r="D78">
        <v>2.3703532870292698</v>
      </c>
      <c r="E78">
        <v>4</v>
      </c>
      <c r="F78" t="s">
        <v>14</v>
      </c>
    </row>
    <row r="79" spans="1:6" x14ac:dyDescent="0.2">
      <c r="A79" t="s">
        <v>9</v>
      </c>
      <c r="B79">
        <v>3240.4179231607</v>
      </c>
      <c r="C79">
        <v>1790381.75</v>
      </c>
      <c r="D79">
        <v>3.6623427943070701</v>
      </c>
      <c r="E79">
        <v>4</v>
      </c>
      <c r="F79" t="s">
        <v>14</v>
      </c>
    </row>
    <row r="80" spans="1:6" x14ac:dyDescent="0.2">
      <c r="A80" t="s">
        <v>10</v>
      </c>
      <c r="B80">
        <v>3585.4659757285999</v>
      </c>
      <c r="C80">
        <v>655715.09</v>
      </c>
      <c r="D80">
        <v>4.7377503291448004</v>
      </c>
      <c r="E80">
        <v>4</v>
      </c>
      <c r="F80" t="s">
        <v>14</v>
      </c>
    </row>
    <row r="81" spans="1:6" x14ac:dyDescent="0.2">
      <c r="A81" t="s">
        <v>6</v>
      </c>
      <c r="B81">
        <v>3890.5036920745802</v>
      </c>
      <c r="C81">
        <v>1352280.42</v>
      </c>
      <c r="D81">
        <v>5.2529161369482704</v>
      </c>
      <c r="E81">
        <v>4</v>
      </c>
      <c r="F81" t="s">
        <v>14</v>
      </c>
    </row>
    <row r="82" spans="1:6" x14ac:dyDescent="0.2">
      <c r="A82" t="s">
        <v>9</v>
      </c>
      <c r="B82">
        <v>4196.5327742695199</v>
      </c>
      <c r="C82">
        <v>816869.71</v>
      </c>
      <c r="D82">
        <v>5.8811136698405004</v>
      </c>
      <c r="E82">
        <v>4</v>
      </c>
      <c r="F82" t="s">
        <v>14</v>
      </c>
    </row>
    <row r="83" spans="1:6" x14ac:dyDescent="0.2">
      <c r="A83" t="s">
        <v>8</v>
      </c>
      <c r="B83">
        <v>4525.5891946108204</v>
      </c>
      <c r="C83">
        <v>1288105.49</v>
      </c>
      <c r="D83">
        <v>6.6902697598616303</v>
      </c>
      <c r="E83">
        <v>4</v>
      </c>
      <c r="F83" t="s">
        <v>14</v>
      </c>
    </row>
    <row r="84" spans="1:6" x14ac:dyDescent="0.2">
      <c r="A84" t="s">
        <v>9</v>
      </c>
      <c r="B84">
        <v>4831.6201653555599</v>
      </c>
      <c r="C84">
        <v>1130198.75</v>
      </c>
      <c r="D84">
        <v>7.1424336369514503</v>
      </c>
      <c r="E84">
        <v>4</v>
      </c>
      <c r="F84" t="s">
        <v>14</v>
      </c>
    </row>
    <row r="85" spans="1:6" x14ac:dyDescent="0.2">
      <c r="A85" t="s">
        <v>10</v>
      </c>
      <c r="B85">
        <v>5176.6643297652899</v>
      </c>
      <c r="C85">
        <v>834402.83</v>
      </c>
      <c r="D85">
        <v>7.53146161195437</v>
      </c>
      <c r="E85">
        <v>4</v>
      </c>
      <c r="F85" t="s">
        <v>14</v>
      </c>
    </row>
    <row r="86" spans="1:6" x14ac:dyDescent="0.2">
      <c r="A86" t="s">
        <v>8</v>
      </c>
      <c r="B86">
        <v>5505.7271000278497</v>
      </c>
      <c r="C86">
        <v>96125.97</v>
      </c>
      <c r="D86">
        <v>8.4593535021622994</v>
      </c>
      <c r="E86">
        <v>4</v>
      </c>
      <c r="F86" t="s">
        <v>14</v>
      </c>
    </row>
    <row r="87" spans="1:6" x14ac:dyDescent="0.2">
      <c r="A87" t="s">
        <v>9</v>
      </c>
      <c r="B87">
        <v>5811.7417124765298</v>
      </c>
      <c r="C87">
        <v>150324.45000000001</v>
      </c>
      <c r="D87">
        <v>8.7310867782115906</v>
      </c>
      <c r="E87">
        <v>4</v>
      </c>
      <c r="F87" t="s">
        <v>14</v>
      </c>
    </row>
    <row r="88" spans="1:6" x14ac:dyDescent="0.2">
      <c r="A88" t="s">
        <v>6</v>
      </c>
      <c r="B88">
        <v>6116.7915874399396</v>
      </c>
      <c r="C88">
        <v>272455.2</v>
      </c>
      <c r="D88">
        <v>8.7310867782115906</v>
      </c>
      <c r="E88">
        <v>4</v>
      </c>
      <c r="F88" t="s">
        <v>14</v>
      </c>
    </row>
    <row r="89" spans="1:6" x14ac:dyDescent="0.2">
      <c r="A89" t="s">
        <v>6</v>
      </c>
      <c r="B89">
        <v>6421.8527656141096</v>
      </c>
      <c r="C89">
        <v>351839.71</v>
      </c>
      <c r="D89">
        <v>8.8171853279749506</v>
      </c>
      <c r="E89">
        <v>4</v>
      </c>
      <c r="F89" t="s">
        <v>14</v>
      </c>
    </row>
    <row r="90" spans="1:6" x14ac:dyDescent="0.2">
      <c r="A90" t="s">
        <v>9</v>
      </c>
      <c r="B90">
        <v>6727.8728847213797</v>
      </c>
      <c r="C90">
        <v>253188.4</v>
      </c>
      <c r="D90">
        <v>9.1525961355050391</v>
      </c>
      <c r="E90">
        <v>4</v>
      </c>
      <c r="F90" t="s">
        <v>14</v>
      </c>
    </row>
    <row r="91" spans="1:6" x14ac:dyDescent="0.2">
      <c r="A91" t="s">
        <v>9</v>
      </c>
      <c r="B91">
        <v>7033.8996662453201</v>
      </c>
      <c r="C91">
        <v>326760.33</v>
      </c>
      <c r="D91">
        <v>9.3293358858108508</v>
      </c>
      <c r="E91">
        <v>4</v>
      </c>
      <c r="F91" t="s">
        <v>14</v>
      </c>
    </row>
    <row r="92" spans="1:6" x14ac:dyDescent="0.2">
      <c r="A92" t="s">
        <v>6</v>
      </c>
      <c r="B92">
        <v>7338.9366732281496</v>
      </c>
      <c r="C92">
        <v>436460.27</v>
      </c>
      <c r="D92">
        <v>9.4788820937951392</v>
      </c>
      <c r="E92">
        <v>4</v>
      </c>
      <c r="F92" t="s">
        <v>14</v>
      </c>
    </row>
    <row r="93" spans="1:6" x14ac:dyDescent="0.2">
      <c r="A93" t="s">
        <v>9</v>
      </c>
      <c r="B93">
        <v>1327.18753731077</v>
      </c>
      <c r="C93">
        <v>700871.47</v>
      </c>
      <c r="D93">
        <v>0.78020909385681203</v>
      </c>
      <c r="E93">
        <v>5</v>
      </c>
      <c r="F93" t="s">
        <v>15</v>
      </c>
    </row>
    <row r="94" spans="1:6" x14ac:dyDescent="0.2">
      <c r="A94" t="s">
        <v>8</v>
      </c>
      <c r="B94">
        <v>1633.2151389441699</v>
      </c>
      <c r="C94">
        <v>653886.98</v>
      </c>
      <c r="D94">
        <v>0.87054953532218904</v>
      </c>
      <c r="E94">
        <v>5</v>
      </c>
      <c r="F94" t="s">
        <v>15</v>
      </c>
    </row>
    <row r="95" spans="1:6" x14ac:dyDescent="0.2">
      <c r="A95" t="s">
        <v>6</v>
      </c>
      <c r="B95">
        <v>1962.27185266012</v>
      </c>
      <c r="C95">
        <v>513760.46</v>
      </c>
      <c r="D95">
        <v>1.10996682004929</v>
      </c>
      <c r="E95">
        <v>5</v>
      </c>
      <c r="F95" t="s">
        <v>15</v>
      </c>
    </row>
    <row r="96" spans="1:6" x14ac:dyDescent="0.2">
      <c r="A96" t="s">
        <v>8</v>
      </c>
      <c r="B96">
        <v>2267.3159022587402</v>
      </c>
      <c r="C96">
        <v>982112.59</v>
      </c>
      <c r="D96">
        <v>1.14158847090403</v>
      </c>
      <c r="E96">
        <v>5</v>
      </c>
      <c r="F96" t="s">
        <v>15</v>
      </c>
    </row>
    <row r="97" spans="1:6" x14ac:dyDescent="0.2">
      <c r="A97" t="s">
        <v>10</v>
      </c>
      <c r="B97">
        <v>2596.36956139735</v>
      </c>
      <c r="C97">
        <v>1271106.22</v>
      </c>
      <c r="D97">
        <v>2.93955408689181</v>
      </c>
      <c r="E97">
        <v>5</v>
      </c>
      <c r="F97" t="s">
        <v>15</v>
      </c>
    </row>
    <row r="98" spans="1:6" x14ac:dyDescent="0.2">
      <c r="A98" t="s">
        <v>6</v>
      </c>
      <c r="B98">
        <v>2941.41949628055</v>
      </c>
      <c r="C98">
        <v>1525690.62</v>
      </c>
      <c r="D98">
        <v>4.1096437529405003</v>
      </c>
      <c r="E98">
        <v>5</v>
      </c>
      <c r="F98" t="s">
        <v>15</v>
      </c>
    </row>
    <row r="99" spans="1:6" x14ac:dyDescent="0.2">
      <c r="A99" t="s">
        <v>9</v>
      </c>
      <c r="B99">
        <v>3246.4572584084599</v>
      </c>
      <c r="C99">
        <v>1580630.69</v>
      </c>
      <c r="D99">
        <v>4.5027640199343404</v>
      </c>
      <c r="E99">
        <v>5</v>
      </c>
      <c r="F99" t="s">
        <v>15</v>
      </c>
    </row>
    <row r="100" spans="1:6" x14ac:dyDescent="0.2">
      <c r="A100" t="s">
        <v>11</v>
      </c>
      <c r="B100">
        <v>3552.4878856963101</v>
      </c>
      <c r="C100">
        <v>1756742.39</v>
      </c>
      <c r="D100">
        <v>5.0721379712899504</v>
      </c>
      <c r="E100">
        <v>5</v>
      </c>
      <c r="F100" t="s">
        <v>15</v>
      </c>
    </row>
    <row r="101" spans="1:6" x14ac:dyDescent="0.2">
      <c r="A101" t="s">
        <v>8</v>
      </c>
      <c r="B101">
        <v>3881.5408466408599</v>
      </c>
      <c r="C101">
        <v>1710358.38</v>
      </c>
      <c r="D101">
        <v>6.0573838130315103</v>
      </c>
      <c r="E101">
        <v>5</v>
      </c>
      <c r="F101" t="s">
        <v>15</v>
      </c>
    </row>
    <row r="102" spans="1:6" x14ac:dyDescent="0.2">
      <c r="A102" t="s">
        <v>9</v>
      </c>
      <c r="B102">
        <v>4187.5710013588896</v>
      </c>
      <c r="C102">
        <v>1106505.1399999999</v>
      </c>
      <c r="D102">
        <v>6.6631430204391497</v>
      </c>
      <c r="E102">
        <v>5</v>
      </c>
      <c r="F102" t="s">
        <v>15</v>
      </c>
    </row>
    <row r="103" spans="1:6" x14ac:dyDescent="0.2">
      <c r="A103" t="s">
        <v>8</v>
      </c>
      <c r="B103">
        <v>4516.6230355616099</v>
      </c>
      <c r="C103">
        <v>1557771.73</v>
      </c>
      <c r="D103">
        <v>7.3776465530872297</v>
      </c>
      <c r="E103">
        <v>5</v>
      </c>
      <c r="F103" t="s">
        <v>15</v>
      </c>
    </row>
    <row r="104" spans="1:6" x14ac:dyDescent="0.2">
      <c r="A104" t="s">
        <v>9</v>
      </c>
      <c r="B104">
        <v>4822.6564178540302</v>
      </c>
      <c r="C104">
        <v>1567843.05</v>
      </c>
      <c r="D104">
        <v>7.8572145278930696</v>
      </c>
      <c r="E104">
        <v>5</v>
      </c>
      <c r="F104" t="s">
        <v>15</v>
      </c>
    </row>
    <row r="105" spans="1:6" x14ac:dyDescent="0.2">
      <c r="A105" t="s">
        <v>10</v>
      </c>
      <c r="B105">
        <v>5167.7086851583199</v>
      </c>
      <c r="C105">
        <v>705702.40000000002</v>
      </c>
      <c r="D105">
        <v>8.4593535021622994</v>
      </c>
      <c r="E105">
        <v>5</v>
      </c>
      <c r="F105" t="s">
        <v>15</v>
      </c>
    </row>
    <row r="106" spans="1:6" x14ac:dyDescent="0.2">
      <c r="A106" t="s">
        <v>6</v>
      </c>
      <c r="B106">
        <v>5472.7469019229102</v>
      </c>
      <c r="C106">
        <v>933972.58</v>
      </c>
      <c r="D106">
        <v>8.4276596522013296</v>
      </c>
      <c r="E106">
        <v>5</v>
      </c>
      <c r="F106" t="s">
        <v>15</v>
      </c>
    </row>
    <row r="107" spans="1:6" x14ac:dyDescent="0.2">
      <c r="A107" t="s">
        <v>6</v>
      </c>
      <c r="B107">
        <v>5777.7757277288001</v>
      </c>
      <c r="C107">
        <v>1027195.81</v>
      </c>
      <c r="D107">
        <v>8.6404895440419498</v>
      </c>
      <c r="E107">
        <v>5</v>
      </c>
      <c r="F107" t="s">
        <v>15</v>
      </c>
    </row>
    <row r="108" spans="1:6" x14ac:dyDescent="0.2">
      <c r="A108" t="s">
        <v>8</v>
      </c>
      <c r="B108">
        <v>6106.8326257082799</v>
      </c>
      <c r="C108">
        <v>318523.25</v>
      </c>
      <c r="D108">
        <v>9.1525961355050391</v>
      </c>
      <c r="E108">
        <v>5</v>
      </c>
      <c r="F108" t="s">
        <v>15</v>
      </c>
    </row>
    <row r="109" spans="1:6" x14ac:dyDescent="0.2">
      <c r="A109" t="s">
        <v>6</v>
      </c>
      <c r="B109">
        <v>6411.8659015739304</v>
      </c>
      <c r="C109">
        <v>316719.78999999998</v>
      </c>
      <c r="D109">
        <v>9.2976035789330798</v>
      </c>
      <c r="E109">
        <v>5</v>
      </c>
      <c r="F109" t="s">
        <v>15</v>
      </c>
    </row>
    <row r="110" spans="1:6" x14ac:dyDescent="0.2">
      <c r="A110" t="s">
        <v>9</v>
      </c>
      <c r="B110">
        <v>6717.8853205281303</v>
      </c>
      <c r="C110">
        <v>285227.81</v>
      </c>
      <c r="D110">
        <v>9.5695250208854699</v>
      </c>
      <c r="E110">
        <v>5</v>
      </c>
      <c r="F110" t="s">
        <v>15</v>
      </c>
    </row>
    <row r="111" spans="1:6" x14ac:dyDescent="0.2">
      <c r="A111" t="s">
        <v>10</v>
      </c>
      <c r="B111">
        <v>7062.93733037327</v>
      </c>
      <c r="C111">
        <v>321504.14</v>
      </c>
      <c r="D111">
        <v>9.7508374289353696</v>
      </c>
      <c r="E111">
        <v>5</v>
      </c>
      <c r="F111" t="s">
        <v>15</v>
      </c>
    </row>
    <row r="112" spans="1:6" x14ac:dyDescent="0.2">
      <c r="A112" t="s">
        <v>9</v>
      </c>
      <c r="B112">
        <v>7368.9657085131403</v>
      </c>
      <c r="C112">
        <v>608535.44999999995</v>
      </c>
      <c r="D112">
        <v>9.9865995959123008</v>
      </c>
      <c r="E112">
        <v>5</v>
      </c>
      <c r="F112" t="s">
        <v>15</v>
      </c>
    </row>
    <row r="113" spans="1:6" x14ac:dyDescent="0.2">
      <c r="A113" t="s">
        <v>9</v>
      </c>
      <c r="B113">
        <v>7675.0007338106398</v>
      </c>
      <c r="C113">
        <v>429051.4</v>
      </c>
      <c r="D113">
        <v>10.199732354847599</v>
      </c>
      <c r="E113">
        <v>5</v>
      </c>
      <c r="F113" t="s">
        <v>15</v>
      </c>
    </row>
    <row r="114" spans="1:6" x14ac:dyDescent="0.2">
      <c r="A114" t="s">
        <v>6</v>
      </c>
      <c r="B114">
        <v>7980.0279734109699</v>
      </c>
      <c r="C114">
        <v>347185.6</v>
      </c>
      <c r="D114">
        <v>10.258681902853599</v>
      </c>
      <c r="E114">
        <v>5</v>
      </c>
      <c r="F114" t="s">
        <v>15</v>
      </c>
    </row>
    <row r="115" spans="1:6" x14ac:dyDescent="0.2">
      <c r="A115" t="s">
        <v>8</v>
      </c>
      <c r="B115">
        <v>8309.0587182401905</v>
      </c>
      <c r="C115">
        <v>278827.90999999997</v>
      </c>
      <c r="D115">
        <v>10.5898025528272</v>
      </c>
      <c r="E115">
        <v>5</v>
      </c>
      <c r="F115" t="s">
        <v>15</v>
      </c>
    </row>
    <row r="116" spans="1:6" x14ac:dyDescent="0.2">
      <c r="A116" t="s">
        <v>9</v>
      </c>
      <c r="B116">
        <v>8615.1001501196297</v>
      </c>
      <c r="C116">
        <v>259016.54</v>
      </c>
      <c r="D116">
        <v>10.766735636758799</v>
      </c>
      <c r="E116">
        <v>5</v>
      </c>
      <c r="F116" t="s">
        <v>15</v>
      </c>
    </row>
    <row r="117" spans="1:6" x14ac:dyDescent="0.2">
      <c r="A117" t="s">
        <v>9</v>
      </c>
      <c r="B117">
        <v>8921.1467987063006</v>
      </c>
      <c r="C117">
        <v>211331.76</v>
      </c>
      <c r="D117">
        <v>10.857465302514999</v>
      </c>
      <c r="E117">
        <v>5</v>
      </c>
      <c r="F117" t="s">
        <v>15</v>
      </c>
    </row>
    <row r="118" spans="1:6" x14ac:dyDescent="0.2">
      <c r="A118" t="s">
        <v>6</v>
      </c>
      <c r="B118">
        <v>9226.1651320362307</v>
      </c>
      <c r="C118">
        <v>123918.31</v>
      </c>
      <c r="D118">
        <v>10.920996711222299</v>
      </c>
      <c r="E118">
        <v>5</v>
      </c>
      <c r="F118" t="s">
        <v>15</v>
      </c>
    </row>
    <row r="119" spans="1:6" x14ac:dyDescent="0.2">
      <c r="A119" t="s">
        <v>10</v>
      </c>
      <c r="B119">
        <v>9571.2306805153003</v>
      </c>
      <c r="C119">
        <v>170826.15</v>
      </c>
      <c r="D119">
        <v>11.1024970030467</v>
      </c>
      <c r="E119">
        <v>5</v>
      </c>
      <c r="F119" t="s">
        <v>15</v>
      </c>
    </row>
    <row r="120" spans="1:6" x14ac:dyDescent="0.2">
      <c r="A120" t="s">
        <v>10</v>
      </c>
      <c r="B120">
        <v>9916.2526910338293</v>
      </c>
      <c r="C120">
        <v>79141.350000000006</v>
      </c>
      <c r="D120">
        <v>11.247654928334599</v>
      </c>
      <c r="E120">
        <v>5</v>
      </c>
      <c r="F120" t="s">
        <v>15</v>
      </c>
    </row>
    <row r="121" spans="1:6" x14ac:dyDescent="0.2">
      <c r="A121" t="s">
        <v>8</v>
      </c>
      <c r="B121">
        <v>10245.316553087099</v>
      </c>
      <c r="C121">
        <v>198231</v>
      </c>
      <c r="D121">
        <v>11.492626493740101</v>
      </c>
      <c r="E121">
        <v>5</v>
      </c>
      <c r="F121" t="s">
        <v>15</v>
      </c>
    </row>
    <row r="122" spans="1:6" x14ac:dyDescent="0.2">
      <c r="A122" t="s">
        <v>9</v>
      </c>
      <c r="B122">
        <v>10551.3304061324</v>
      </c>
      <c r="C122">
        <v>168417.11</v>
      </c>
      <c r="D122">
        <v>11.6106496349653</v>
      </c>
      <c r="E122">
        <v>5</v>
      </c>
      <c r="F122" t="s">
        <v>15</v>
      </c>
    </row>
    <row r="123" spans="1:6" x14ac:dyDescent="0.2">
      <c r="A123" t="s">
        <v>9</v>
      </c>
      <c r="B123">
        <v>10857.364621877001</v>
      </c>
      <c r="C123">
        <v>62880.77</v>
      </c>
      <c r="D123">
        <v>11.7014509017944</v>
      </c>
      <c r="E123">
        <v>5</v>
      </c>
      <c r="F123" t="s">
        <v>15</v>
      </c>
    </row>
    <row r="124" spans="1:6" x14ac:dyDescent="0.2">
      <c r="A124" t="s">
        <v>8</v>
      </c>
      <c r="B124">
        <v>11186.4303925282</v>
      </c>
      <c r="C124">
        <v>53412.99</v>
      </c>
      <c r="D124">
        <v>11.910358811982499</v>
      </c>
      <c r="E124">
        <v>5</v>
      </c>
      <c r="F124" t="s">
        <v>15</v>
      </c>
    </row>
    <row r="125" spans="1:6" x14ac:dyDescent="0.2">
      <c r="A125" t="s">
        <v>8</v>
      </c>
      <c r="B125">
        <v>1852.19511047272</v>
      </c>
      <c r="C125">
        <v>136642.54</v>
      </c>
      <c r="D125">
        <v>0.75310868577957202</v>
      </c>
      <c r="E125">
        <v>6</v>
      </c>
      <c r="F125" t="s">
        <v>16</v>
      </c>
    </row>
    <row r="126" spans="1:6" x14ac:dyDescent="0.2">
      <c r="A126" t="s">
        <v>10</v>
      </c>
      <c r="B126">
        <v>2181.2531856788501</v>
      </c>
      <c r="C126">
        <v>546477.29</v>
      </c>
      <c r="D126">
        <v>0.89764954404830899</v>
      </c>
      <c r="E126">
        <v>6</v>
      </c>
      <c r="F126" t="s">
        <v>16</v>
      </c>
    </row>
    <row r="127" spans="1:6" x14ac:dyDescent="0.2">
      <c r="A127" t="s">
        <v>8</v>
      </c>
      <c r="B127">
        <v>2526.29908261847</v>
      </c>
      <c r="C127">
        <v>1725292.81</v>
      </c>
      <c r="D127">
        <v>1.07834287838936</v>
      </c>
      <c r="E127">
        <v>6</v>
      </c>
      <c r="F127" t="s">
        <v>16</v>
      </c>
    </row>
    <row r="128" spans="1:6" x14ac:dyDescent="0.2">
      <c r="A128" t="s">
        <v>9</v>
      </c>
      <c r="B128">
        <v>2855.3575185264199</v>
      </c>
      <c r="C128">
        <v>933621.24</v>
      </c>
      <c r="D128">
        <v>1.98185426152547</v>
      </c>
      <c r="E128">
        <v>6</v>
      </c>
      <c r="F128" t="s">
        <v>16</v>
      </c>
    </row>
    <row r="129" spans="1:6" x14ac:dyDescent="0.2">
      <c r="A129" t="s">
        <v>10</v>
      </c>
      <c r="B129">
        <v>3161.3833170099101</v>
      </c>
      <c r="C129">
        <v>608014.81000000006</v>
      </c>
      <c r="D129">
        <v>3.41839412010511</v>
      </c>
      <c r="E129">
        <v>6</v>
      </c>
      <c r="F129" t="s">
        <v>16</v>
      </c>
    </row>
    <row r="130" spans="1:6" x14ac:dyDescent="0.2">
      <c r="A130" t="s">
        <v>11</v>
      </c>
      <c r="B130">
        <v>3506.43422064983</v>
      </c>
      <c r="C130">
        <v>1753861.88</v>
      </c>
      <c r="D130">
        <v>4.3807517603715302</v>
      </c>
      <c r="E130">
        <v>6</v>
      </c>
      <c r="F130" t="s">
        <v>16</v>
      </c>
    </row>
    <row r="131" spans="1:6" x14ac:dyDescent="0.2">
      <c r="A131" t="s">
        <v>6</v>
      </c>
      <c r="B131">
        <v>3811.4806480655898</v>
      </c>
      <c r="C131">
        <v>373933.46</v>
      </c>
      <c r="D131">
        <v>5.0088751530329398</v>
      </c>
      <c r="E131">
        <v>6</v>
      </c>
      <c r="F131" t="s">
        <v>16</v>
      </c>
    </row>
    <row r="132" spans="1:6" x14ac:dyDescent="0.2">
      <c r="A132" t="s">
        <v>6</v>
      </c>
      <c r="B132">
        <v>4116.5137227245896</v>
      </c>
      <c r="C132">
        <v>288908.93</v>
      </c>
      <c r="D132">
        <v>5.6099234874725301</v>
      </c>
      <c r="E132">
        <v>6</v>
      </c>
      <c r="F132" t="s">
        <v>16</v>
      </c>
    </row>
    <row r="133" spans="1:6" x14ac:dyDescent="0.2">
      <c r="A133" t="s">
        <v>8</v>
      </c>
      <c r="B133">
        <v>4445.5714854768403</v>
      </c>
      <c r="C133">
        <v>431836.21</v>
      </c>
      <c r="D133">
        <v>6.32862172878583</v>
      </c>
      <c r="E133">
        <v>6</v>
      </c>
      <c r="F133" t="s">
        <v>16</v>
      </c>
    </row>
    <row r="134" spans="1:6" x14ac:dyDescent="0.2">
      <c r="A134" t="s">
        <v>9</v>
      </c>
      <c r="B134">
        <v>4751.6029110978698</v>
      </c>
      <c r="C134">
        <v>581623.29</v>
      </c>
      <c r="D134">
        <v>6.8711072182337398</v>
      </c>
      <c r="E134">
        <v>6</v>
      </c>
      <c r="F134" t="s">
        <v>16</v>
      </c>
    </row>
    <row r="135" spans="1:6" x14ac:dyDescent="0.2">
      <c r="A135" t="s">
        <v>6</v>
      </c>
      <c r="B135">
        <v>5056.6411938071997</v>
      </c>
      <c r="C135">
        <v>589501.29</v>
      </c>
      <c r="D135">
        <v>7.2600274618148797</v>
      </c>
      <c r="E135">
        <v>6</v>
      </c>
      <c r="F135" t="s">
        <v>16</v>
      </c>
    </row>
    <row r="136" spans="1:6" x14ac:dyDescent="0.2">
      <c r="A136" t="s">
        <v>6</v>
      </c>
      <c r="B136">
        <v>5361.6746775464799</v>
      </c>
      <c r="C136">
        <v>500482.84</v>
      </c>
      <c r="D136">
        <v>7.4997938370386796</v>
      </c>
      <c r="E136">
        <v>6</v>
      </c>
      <c r="F136" t="s">
        <v>16</v>
      </c>
    </row>
    <row r="137" spans="1:6" x14ac:dyDescent="0.2">
      <c r="A137" t="s">
        <v>9</v>
      </c>
      <c r="B137">
        <v>5667.7049367089303</v>
      </c>
      <c r="C137">
        <v>779932.62</v>
      </c>
      <c r="D137">
        <v>7.8572145278930696</v>
      </c>
      <c r="E137">
        <v>6</v>
      </c>
      <c r="F137" t="s">
        <v>16</v>
      </c>
    </row>
    <row r="138" spans="1:6" x14ac:dyDescent="0.2">
      <c r="A138" t="s">
        <v>9</v>
      </c>
      <c r="B138">
        <v>5973.7390181257797</v>
      </c>
      <c r="C138">
        <v>211419.85</v>
      </c>
      <c r="D138">
        <v>8.1016532953262299</v>
      </c>
      <c r="E138">
        <v>6</v>
      </c>
      <c r="F138" t="s">
        <v>16</v>
      </c>
    </row>
    <row r="139" spans="1:6" x14ac:dyDescent="0.2">
      <c r="A139" t="s">
        <v>8</v>
      </c>
      <c r="B139">
        <v>6302.8006357084496</v>
      </c>
      <c r="C139">
        <v>15056.83</v>
      </c>
      <c r="D139">
        <v>8.9078380798975605</v>
      </c>
      <c r="E139">
        <v>6</v>
      </c>
      <c r="F139" t="s">
        <v>16</v>
      </c>
    </row>
    <row r="140" spans="1:6" x14ac:dyDescent="0.2">
      <c r="A140" t="s">
        <v>8</v>
      </c>
      <c r="B140">
        <v>6631.8550862089396</v>
      </c>
      <c r="C140">
        <v>76328.72</v>
      </c>
      <c r="D140">
        <v>9.0619451121171295</v>
      </c>
      <c r="E140">
        <v>6</v>
      </c>
      <c r="F140" t="s">
        <v>16</v>
      </c>
    </row>
    <row r="141" spans="1:6" x14ac:dyDescent="0.2">
      <c r="A141" t="s">
        <v>10</v>
      </c>
      <c r="B141">
        <v>6976.8948416705698</v>
      </c>
      <c r="C141">
        <v>401009.91999999998</v>
      </c>
      <c r="D141">
        <v>9.3293358858108508</v>
      </c>
      <c r="E141">
        <v>6</v>
      </c>
      <c r="F141" t="s">
        <v>16</v>
      </c>
    </row>
    <row r="142" spans="1:6" x14ac:dyDescent="0.2">
      <c r="A142" t="s">
        <v>10</v>
      </c>
      <c r="B142">
        <v>7321.9481080202804</v>
      </c>
      <c r="C142">
        <v>188856.18</v>
      </c>
      <c r="D142">
        <v>9.5695250208854699</v>
      </c>
      <c r="E142">
        <v>6</v>
      </c>
      <c r="F142" t="s">
        <v>16</v>
      </c>
    </row>
    <row r="143" spans="1:6" x14ac:dyDescent="0.2">
      <c r="A143" t="s">
        <v>6</v>
      </c>
      <c r="B143">
        <v>1994.26129716181</v>
      </c>
      <c r="C143">
        <v>278194.34999999998</v>
      </c>
      <c r="D143">
        <v>0.87054953532218904</v>
      </c>
      <c r="E143">
        <v>7</v>
      </c>
      <c r="F143" t="s">
        <v>17</v>
      </c>
    </row>
    <row r="144" spans="1:6" x14ac:dyDescent="0.2">
      <c r="A144" t="s">
        <v>8</v>
      </c>
      <c r="B144">
        <v>2299.3000233368102</v>
      </c>
      <c r="C144">
        <v>853901.79</v>
      </c>
      <c r="D144">
        <v>0.98799588637351998</v>
      </c>
      <c r="E144">
        <v>7</v>
      </c>
      <c r="F144" t="s">
        <v>17</v>
      </c>
    </row>
    <row r="145" spans="1:6" x14ac:dyDescent="0.2">
      <c r="A145" t="s">
        <v>8</v>
      </c>
      <c r="B145">
        <v>2628.35723348992</v>
      </c>
      <c r="C145">
        <v>1473326.46</v>
      </c>
      <c r="D145">
        <v>1.32228308674494</v>
      </c>
      <c r="E145">
        <v>7</v>
      </c>
      <c r="F145" t="s">
        <v>17</v>
      </c>
    </row>
    <row r="146" spans="1:6" x14ac:dyDescent="0.2">
      <c r="A146" t="s">
        <v>6</v>
      </c>
      <c r="B146">
        <v>2957.4181365597301</v>
      </c>
      <c r="C146">
        <v>1103027.77</v>
      </c>
      <c r="D146">
        <v>3.68945406235059</v>
      </c>
      <c r="E146">
        <v>7</v>
      </c>
      <c r="F146" t="s">
        <v>17</v>
      </c>
    </row>
    <row r="147" spans="1:6" x14ac:dyDescent="0.2">
      <c r="A147" t="s">
        <v>9</v>
      </c>
      <c r="B147">
        <v>3262.4548520952098</v>
      </c>
      <c r="C147">
        <v>1236761.3999999999</v>
      </c>
      <c r="D147">
        <v>3.9605501786549899</v>
      </c>
      <c r="E147">
        <v>7</v>
      </c>
      <c r="F147" t="s">
        <v>17</v>
      </c>
    </row>
    <row r="148" spans="1:6" x14ac:dyDescent="0.2">
      <c r="A148" t="s">
        <v>8</v>
      </c>
      <c r="B148">
        <v>3568.4796040867</v>
      </c>
      <c r="C148">
        <v>1696053.4</v>
      </c>
      <c r="D148">
        <v>4.8281210438092499</v>
      </c>
      <c r="E148">
        <v>7</v>
      </c>
      <c r="F148" t="s">
        <v>17</v>
      </c>
    </row>
    <row r="149" spans="1:6" x14ac:dyDescent="0.2">
      <c r="A149" t="s">
        <v>6</v>
      </c>
      <c r="B149">
        <v>3897.5356053076798</v>
      </c>
      <c r="C149">
        <v>1384322.18</v>
      </c>
      <c r="D149">
        <v>5.7590797618706997</v>
      </c>
      <c r="E149">
        <v>7</v>
      </c>
      <c r="F149" t="s">
        <v>17</v>
      </c>
    </row>
    <row r="150" spans="1:6" x14ac:dyDescent="0.2">
      <c r="A150" t="s">
        <v>10</v>
      </c>
      <c r="B150">
        <v>4202.5741383816303</v>
      </c>
      <c r="C150">
        <v>1199736.71</v>
      </c>
      <c r="D150">
        <v>6.2382045622348796</v>
      </c>
      <c r="E150">
        <v>7</v>
      </c>
      <c r="F150" t="s">
        <v>17</v>
      </c>
    </row>
    <row r="151" spans="1:6" x14ac:dyDescent="0.2">
      <c r="A151" t="s">
        <v>9</v>
      </c>
      <c r="B151">
        <v>4547.6219709499001</v>
      </c>
      <c r="C151">
        <v>1362837.7</v>
      </c>
      <c r="D151">
        <v>6.8078124936103803</v>
      </c>
      <c r="E151">
        <v>7</v>
      </c>
      <c r="F151" t="s">
        <v>17</v>
      </c>
    </row>
    <row r="152" spans="1:6" x14ac:dyDescent="0.2">
      <c r="A152" t="s">
        <v>8</v>
      </c>
      <c r="B152">
        <v>4853.6547353161804</v>
      </c>
      <c r="C152">
        <v>1645662.71</v>
      </c>
      <c r="D152">
        <v>7.2600274618148797</v>
      </c>
      <c r="E152">
        <v>7</v>
      </c>
      <c r="F152" t="s">
        <v>17</v>
      </c>
    </row>
    <row r="153" spans="1:6" x14ac:dyDescent="0.2">
      <c r="A153" t="s">
        <v>11</v>
      </c>
      <c r="B153">
        <v>5182.7072699727496</v>
      </c>
      <c r="C153">
        <v>1727861.21</v>
      </c>
      <c r="D153">
        <v>7.8300619359493204</v>
      </c>
      <c r="E153">
        <v>7</v>
      </c>
      <c r="F153" t="s">
        <v>17</v>
      </c>
    </row>
    <row r="154" spans="1:6" x14ac:dyDescent="0.2">
      <c r="A154" t="s">
        <v>8</v>
      </c>
      <c r="B154">
        <v>5511.7691721967203</v>
      </c>
      <c r="C154">
        <v>807138.93</v>
      </c>
      <c r="D154">
        <v>8.4004820779641491</v>
      </c>
      <c r="E154">
        <v>7</v>
      </c>
      <c r="F154" t="s">
        <v>17</v>
      </c>
    </row>
    <row r="155" spans="1:6" x14ac:dyDescent="0.2">
      <c r="A155" t="s">
        <v>10</v>
      </c>
      <c r="B155">
        <v>5856.8215474259196</v>
      </c>
      <c r="C155">
        <v>826726.03</v>
      </c>
      <c r="D155">
        <v>8.7628044779777508</v>
      </c>
      <c r="E155">
        <v>7</v>
      </c>
      <c r="F155" t="s">
        <v>17</v>
      </c>
    </row>
    <row r="156" spans="1:6" x14ac:dyDescent="0.2">
      <c r="A156" t="s">
        <v>10</v>
      </c>
      <c r="B156">
        <v>6201.8778765851503</v>
      </c>
      <c r="C156">
        <v>259375.44</v>
      </c>
      <c r="D156">
        <v>8.9984834865411099</v>
      </c>
      <c r="E156">
        <v>7</v>
      </c>
      <c r="F156" t="s">
        <v>17</v>
      </c>
    </row>
    <row r="157" spans="1:6" x14ac:dyDescent="0.2">
      <c r="A157" t="s">
        <v>6</v>
      </c>
      <c r="B157">
        <v>6506.9128397765498</v>
      </c>
      <c r="C157">
        <v>614408.85</v>
      </c>
      <c r="D157">
        <v>9.20696947929064</v>
      </c>
      <c r="E157">
        <v>7</v>
      </c>
      <c r="F157" t="s">
        <v>17</v>
      </c>
    </row>
    <row r="158" spans="1:6" x14ac:dyDescent="0.2">
      <c r="A158" t="s">
        <v>8</v>
      </c>
      <c r="B158">
        <v>6835.9584914861398</v>
      </c>
      <c r="C158">
        <v>524091.27</v>
      </c>
      <c r="D158">
        <v>9.6873567954381308</v>
      </c>
      <c r="E158">
        <v>7</v>
      </c>
      <c r="F158" t="s">
        <v>17</v>
      </c>
    </row>
    <row r="159" spans="1:6" x14ac:dyDescent="0.2">
      <c r="A159" t="s">
        <v>6</v>
      </c>
      <c r="B159">
        <v>7140.9822129556096</v>
      </c>
      <c r="C159">
        <v>503110.98</v>
      </c>
      <c r="D159">
        <v>9.8097735281467404</v>
      </c>
      <c r="E159">
        <v>7</v>
      </c>
      <c r="F159" t="s">
        <v>17</v>
      </c>
    </row>
    <row r="160" spans="1:6" x14ac:dyDescent="0.2">
      <c r="A160" t="s">
        <v>9</v>
      </c>
      <c r="B160">
        <v>7447.0264579786099</v>
      </c>
      <c r="C160">
        <v>412018.88</v>
      </c>
      <c r="D160">
        <v>9.9865995959123008</v>
      </c>
      <c r="E160">
        <v>7</v>
      </c>
      <c r="F160" t="s">
        <v>17</v>
      </c>
    </row>
    <row r="161" spans="1:6" x14ac:dyDescent="0.2">
      <c r="A161" t="s">
        <v>6</v>
      </c>
      <c r="B161">
        <v>7752.0446673656497</v>
      </c>
      <c r="C161">
        <v>140526.42000000001</v>
      </c>
      <c r="D161">
        <v>10.050083895095201</v>
      </c>
      <c r="E161">
        <v>7</v>
      </c>
      <c r="F161" t="s">
        <v>17</v>
      </c>
    </row>
    <row r="162" spans="1:6" x14ac:dyDescent="0.2">
      <c r="A162" t="s">
        <v>8</v>
      </c>
      <c r="B162">
        <v>8081.1008236868502</v>
      </c>
      <c r="C162">
        <v>357414.89</v>
      </c>
      <c r="D162">
        <v>10.5308376963615</v>
      </c>
      <c r="E162">
        <v>7</v>
      </c>
      <c r="F162" t="s">
        <v>17</v>
      </c>
    </row>
    <row r="163" spans="1:6" x14ac:dyDescent="0.2">
      <c r="A163" t="s">
        <v>10</v>
      </c>
      <c r="B163">
        <v>8426.1212171279494</v>
      </c>
      <c r="C163">
        <v>44802.03</v>
      </c>
      <c r="D163">
        <v>10.5898025528272</v>
      </c>
      <c r="E163">
        <v>7</v>
      </c>
      <c r="F163" t="s">
        <v>17</v>
      </c>
    </row>
    <row r="164" spans="1:6" x14ac:dyDescent="0.2">
      <c r="A164" t="s">
        <v>9</v>
      </c>
      <c r="B164">
        <v>8732.1596480729695</v>
      </c>
      <c r="C164">
        <v>122721.16</v>
      </c>
      <c r="D164">
        <v>10.857465302514999</v>
      </c>
      <c r="E164">
        <v>7</v>
      </c>
      <c r="F164" t="s">
        <v>17</v>
      </c>
    </row>
    <row r="165" spans="1:6" x14ac:dyDescent="0.2">
      <c r="A165" t="s">
        <v>10</v>
      </c>
      <c r="B165">
        <v>9077.2006306344992</v>
      </c>
      <c r="C165">
        <v>100987.92</v>
      </c>
      <c r="D165">
        <v>10.857465302514999</v>
      </c>
      <c r="E165">
        <v>7</v>
      </c>
      <c r="F165" t="s">
        <v>17</v>
      </c>
    </row>
    <row r="166" spans="1:6" x14ac:dyDescent="0.2">
      <c r="A166" t="s">
        <v>10</v>
      </c>
      <c r="B166">
        <v>9422.2378611469194</v>
      </c>
      <c r="C166">
        <v>126525.48</v>
      </c>
      <c r="D166">
        <v>11.1024970030467</v>
      </c>
      <c r="E166">
        <v>7</v>
      </c>
      <c r="F166" t="s">
        <v>17</v>
      </c>
    </row>
    <row r="167" spans="1:6" x14ac:dyDescent="0.2">
      <c r="A167" t="s">
        <v>9</v>
      </c>
      <c r="B167">
        <v>9728.2889096816198</v>
      </c>
      <c r="C167">
        <v>194686.11</v>
      </c>
      <c r="D167">
        <v>11.247654928334599</v>
      </c>
      <c r="E167">
        <v>7</v>
      </c>
      <c r="F167" t="s">
        <v>17</v>
      </c>
    </row>
    <row r="168" spans="1:6" x14ac:dyDescent="0.2">
      <c r="A168" t="s">
        <v>9</v>
      </c>
      <c r="B168">
        <v>10034.3045411275</v>
      </c>
      <c r="C168">
        <v>108789.91</v>
      </c>
      <c r="D168">
        <v>11.370116702286399</v>
      </c>
      <c r="E168">
        <v>7</v>
      </c>
      <c r="F168" t="s">
        <v>17</v>
      </c>
    </row>
    <row r="169" spans="1:6" x14ac:dyDescent="0.2">
      <c r="A169" t="s">
        <v>8</v>
      </c>
      <c r="B169">
        <v>10363.375489764399</v>
      </c>
      <c r="C169">
        <v>69818.98</v>
      </c>
      <c r="D169">
        <v>11.583410552708299</v>
      </c>
      <c r="E169">
        <v>7</v>
      </c>
      <c r="F169" t="s">
        <v>17</v>
      </c>
    </row>
    <row r="170" spans="1:6" x14ac:dyDescent="0.2">
      <c r="A170" t="s">
        <v>9</v>
      </c>
      <c r="B170">
        <v>10669.3894707988</v>
      </c>
      <c r="C170">
        <v>133191.35</v>
      </c>
      <c r="D170">
        <v>11.728699936040201</v>
      </c>
      <c r="E170">
        <v>7</v>
      </c>
      <c r="F170" t="s">
        <v>17</v>
      </c>
    </row>
    <row r="171" spans="1:6" x14ac:dyDescent="0.2">
      <c r="A171" t="s">
        <v>10</v>
      </c>
      <c r="B171">
        <v>11014.4381120583</v>
      </c>
      <c r="C171">
        <v>35113.57</v>
      </c>
      <c r="D171">
        <v>11.7922851359526</v>
      </c>
      <c r="E171">
        <v>7</v>
      </c>
      <c r="F171" t="s">
        <v>17</v>
      </c>
    </row>
    <row r="172" spans="1:6" x14ac:dyDescent="0.2">
      <c r="A172" t="s">
        <v>6</v>
      </c>
      <c r="B172">
        <v>11319.442508923101</v>
      </c>
      <c r="C172">
        <v>31869.35</v>
      </c>
      <c r="D172">
        <v>11.8831181362947</v>
      </c>
      <c r="E172">
        <v>7</v>
      </c>
      <c r="F172" t="s">
        <v>17</v>
      </c>
    </row>
    <row r="173" spans="1:6" x14ac:dyDescent="0.2">
      <c r="A173" t="s">
        <v>10</v>
      </c>
      <c r="B173">
        <v>11664.501856262301</v>
      </c>
      <c r="C173">
        <v>20358.95</v>
      </c>
      <c r="D173">
        <v>12.0283913290183</v>
      </c>
      <c r="E173">
        <v>7</v>
      </c>
      <c r="F173" t="s">
        <v>17</v>
      </c>
    </row>
    <row r="174" spans="1:6" x14ac:dyDescent="0.2">
      <c r="A174" t="s">
        <v>10</v>
      </c>
      <c r="B174">
        <v>2204.2782260443801</v>
      </c>
      <c r="C174">
        <v>375014.71</v>
      </c>
      <c r="D174">
        <v>0.96089091854095499</v>
      </c>
      <c r="E174">
        <v>8</v>
      </c>
      <c r="F174" t="s">
        <v>18</v>
      </c>
    </row>
    <row r="175" spans="1:6" x14ac:dyDescent="0.2">
      <c r="A175" t="s">
        <v>8</v>
      </c>
      <c r="B175">
        <v>2549.32922959588</v>
      </c>
      <c r="C175">
        <v>909663.08</v>
      </c>
      <c r="D175">
        <v>1.1686931864102701</v>
      </c>
      <c r="E175">
        <v>8</v>
      </c>
      <c r="F175" t="s">
        <v>18</v>
      </c>
    </row>
    <row r="176" spans="1:6" x14ac:dyDescent="0.2">
      <c r="A176" t="s">
        <v>9</v>
      </c>
      <c r="B176">
        <v>2878.3853879855501</v>
      </c>
      <c r="C176">
        <v>743425.8</v>
      </c>
      <c r="D176">
        <v>2.8492029364585898</v>
      </c>
      <c r="E176">
        <v>8</v>
      </c>
      <c r="F176" t="s">
        <v>18</v>
      </c>
    </row>
    <row r="177" spans="1:6" x14ac:dyDescent="0.2">
      <c r="A177" t="s">
        <v>8</v>
      </c>
      <c r="B177">
        <v>3184.41097381792</v>
      </c>
      <c r="C177">
        <v>618199.47</v>
      </c>
      <c r="D177">
        <v>4.4711309110800403</v>
      </c>
      <c r="E177">
        <v>8</v>
      </c>
      <c r="F177" t="s">
        <v>18</v>
      </c>
    </row>
    <row r="178" spans="1:6" x14ac:dyDescent="0.2">
      <c r="A178" t="s">
        <v>10</v>
      </c>
      <c r="B178">
        <v>3513.4686433209499</v>
      </c>
      <c r="C178">
        <v>504548.06</v>
      </c>
      <c r="D178">
        <v>5.6415601447900103</v>
      </c>
      <c r="E178">
        <v>8</v>
      </c>
      <c r="F178" t="s">
        <v>18</v>
      </c>
    </row>
    <row r="179" spans="1:6" x14ac:dyDescent="0.2">
      <c r="A179" t="s">
        <v>11</v>
      </c>
      <c r="B179">
        <v>3858.5148381149802</v>
      </c>
      <c r="C179">
        <v>1591435.24</v>
      </c>
      <c r="D179">
        <v>5.9127516781965896</v>
      </c>
      <c r="E179">
        <v>8</v>
      </c>
      <c r="F179" t="s">
        <v>18</v>
      </c>
    </row>
    <row r="180" spans="1:6" x14ac:dyDescent="0.2">
      <c r="A180" t="s">
        <v>10</v>
      </c>
      <c r="B180">
        <v>4203.5651937519697</v>
      </c>
      <c r="C180">
        <v>595085.43000000005</v>
      </c>
      <c r="D180">
        <v>6.41902668631871</v>
      </c>
      <c r="E180">
        <v>8</v>
      </c>
      <c r="F180" t="s">
        <v>18</v>
      </c>
    </row>
    <row r="181" spans="1:6" x14ac:dyDescent="0.2">
      <c r="A181" t="s">
        <v>6</v>
      </c>
      <c r="B181">
        <v>4508.6051735402198</v>
      </c>
      <c r="C181">
        <v>813296.38</v>
      </c>
      <c r="D181">
        <v>6.7173964198112497</v>
      </c>
      <c r="E181">
        <v>8</v>
      </c>
      <c r="F181" t="s">
        <v>18</v>
      </c>
    </row>
    <row r="182" spans="1:6" x14ac:dyDescent="0.2">
      <c r="A182" t="s">
        <v>6</v>
      </c>
      <c r="B182">
        <v>4813.6435372120004</v>
      </c>
      <c r="C182">
        <v>953410.59</v>
      </c>
      <c r="D182">
        <v>7.1107762113889104</v>
      </c>
      <c r="E182">
        <v>8</v>
      </c>
      <c r="F182" t="s">
        <v>18</v>
      </c>
    </row>
    <row r="183" spans="1:6" x14ac:dyDescent="0.2">
      <c r="A183" t="s">
        <v>9</v>
      </c>
      <c r="B183">
        <v>5119.6738201062099</v>
      </c>
      <c r="C183">
        <v>1330753.96</v>
      </c>
      <c r="D183">
        <v>7.53146161195437</v>
      </c>
      <c r="E183">
        <v>8</v>
      </c>
      <c r="F183" t="s">
        <v>18</v>
      </c>
    </row>
    <row r="184" spans="1:6" x14ac:dyDescent="0.2">
      <c r="A184" t="s">
        <v>8</v>
      </c>
      <c r="B184">
        <v>5448.7215054201697</v>
      </c>
      <c r="C184">
        <v>1056585.3999999999</v>
      </c>
      <c r="D184">
        <v>8.0382720863501191</v>
      </c>
      <c r="E184">
        <v>8</v>
      </c>
      <c r="F184" t="s">
        <v>18</v>
      </c>
    </row>
    <row r="185" spans="1:6" x14ac:dyDescent="0.2">
      <c r="A185" t="s">
        <v>6</v>
      </c>
      <c r="B185">
        <v>5753.7426394705099</v>
      </c>
      <c r="C185">
        <v>287570.17</v>
      </c>
      <c r="D185">
        <v>8.1921988204797103</v>
      </c>
      <c r="E185">
        <v>8</v>
      </c>
      <c r="F185" t="s">
        <v>18</v>
      </c>
    </row>
    <row r="186" spans="1:6" x14ac:dyDescent="0.2">
      <c r="A186" t="s">
        <v>10</v>
      </c>
      <c r="B186">
        <v>6098.82451046389</v>
      </c>
      <c r="C186">
        <v>375890.2</v>
      </c>
      <c r="D186">
        <v>8.5816215947945906</v>
      </c>
      <c r="E186">
        <v>8</v>
      </c>
      <c r="F186" t="s">
        <v>18</v>
      </c>
    </row>
    <row r="187" spans="1:6" x14ac:dyDescent="0.2">
      <c r="A187" t="s">
        <v>8</v>
      </c>
      <c r="B187">
        <v>6427.8768934388499</v>
      </c>
      <c r="C187">
        <v>283588.46000000002</v>
      </c>
      <c r="D187">
        <v>9.1525961355050391</v>
      </c>
      <c r="E187">
        <v>8</v>
      </c>
      <c r="F187" t="s">
        <v>18</v>
      </c>
    </row>
    <row r="188" spans="1:6" x14ac:dyDescent="0.2">
      <c r="A188" t="s">
        <v>6</v>
      </c>
      <c r="B188">
        <v>6732.8650282113103</v>
      </c>
      <c r="C188">
        <v>92537.14</v>
      </c>
      <c r="D188">
        <v>9.1208622272491393</v>
      </c>
      <c r="E188">
        <v>8</v>
      </c>
      <c r="F188" t="s">
        <v>18</v>
      </c>
    </row>
    <row r="189" spans="1:6" x14ac:dyDescent="0.2">
      <c r="A189" t="s">
        <v>10</v>
      </c>
      <c r="B189">
        <v>7077.9229111499899</v>
      </c>
      <c r="C189">
        <v>120486.27</v>
      </c>
      <c r="D189">
        <v>9.4199661111513802</v>
      </c>
      <c r="E189">
        <v>8</v>
      </c>
      <c r="F189" t="s">
        <v>18</v>
      </c>
    </row>
    <row r="190" spans="1:6" x14ac:dyDescent="0.2">
      <c r="A190" t="s">
        <v>9</v>
      </c>
      <c r="B190">
        <v>7383.9545506918403</v>
      </c>
      <c r="C190">
        <v>297368.67</v>
      </c>
      <c r="D190">
        <v>9.6601674453099609</v>
      </c>
      <c r="E190">
        <v>8</v>
      </c>
      <c r="F190" t="s">
        <v>18</v>
      </c>
    </row>
    <row r="191" spans="1:6" x14ac:dyDescent="0.2">
      <c r="A191" t="s">
        <v>8</v>
      </c>
      <c r="B191">
        <v>7713.0090686629101</v>
      </c>
      <c r="C191">
        <v>251246.28</v>
      </c>
      <c r="D191">
        <v>10.050083895095201</v>
      </c>
      <c r="E191">
        <v>8</v>
      </c>
      <c r="F191" t="s">
        <v>18</v>
      </c>
    </row>
    <row r="192" spans="1:6" x14ac:dyDescent="0.2">
      <c r="A192" t="s">
        <v>8</v>
      </c>
      <c r="B192">
        <v>8042.0505195985097</v>
      </c>
      <c r="C192">
        <v>78581.8</v>
      </c>
      <c r="D192">
        <v>10.4129120862166</v>
      </c>
      <c r="E192">
        <v>8</v>
      </c>
      <c r="F192" t="s">
        <v>18</v>
      </c>
    </row>
    <row r="193" spans="1:6" x14ac:dyDescent="0.2">
      <c r="A193" t="s">
        <v>6</v>
      </c>
      <c r="B193">
        <v>8347.0736775029509</v>
      </c>
      <c r="C193">
        <v>126559.45</v>
      </c>
      <c r="D193">
        <v>10.5898025528272</v>
      </c>
      <c r="E193">
        <v>8</v>
      </c>
      <c r="F193" t="s">
        <v>18</v>
      </c>
    </row>
    <row r="194" spans="1:6" x14ac:dyDescent="0.2">
      <c r="A194" t="s">
        <v>9</v>
      </c>
      <c r="B194">
        <v>8653.1097968198992</v>
      </c>
      <c r="C194">
        <v>102332.99</v>
      </c>
      <c r="D194">
        <v>10.6487744962851</v>
      </c>
      <c r="E194">
        <v>8</v>
      </c>
      <c r="F194" t="s">
        <v>18</v>
      </c>
    </row>
    <row r="195" spans="1:6" x14ac:dyDescent="0.2">
      <c r="A195" t="s">
        <v>9</v>
      </c>
      <c r="B195">
        <v>8959.1561728418201</v>
      </c>
      <c r="C195">
        <v>132076.04</v>
      </c>
      <c r="D195">
        <v>10.857465302514999</v>
      </c>
      <c r="E195">
        <v>8</v>
      </c>
      <c r="F195" t="s">
        <v>18</v>
      </c>
    </row>
    <row r="196" spans="1:6" x14ac:dyDescent="0.2">
      <c r="A196" t="s">
        <v>9</v>
      </c>
      <c r="B196">
        <v>9265.20784157661</v>
      </c>
      <c r="C196">
        <v>222956.91</v>
      </c>
      <c r="D196">
        <v>10.9799767946879</v>
      </c>
      <c r="E196">
        <v>8</v>
      </c>
      <c r="F196" t="s">
        <v>18</v>
      </c>
    </row>
    <row r="197" spans="1:6" x14ac:dyDescent="0.2">
      <c r="A197" t="s">
        <v>8</v>
      </c>
      <c r="B197">
        <v>9594.2096483123205</v>
      </c>
      <c r="C197">
        <v>66139.179999999993</v>
      </c>
      <c r="D197">
        <v>11.220441811847699</v>
      </c>
      <c r="E197">
        <v>8</v>
      </c>
      <c r="F197" t="s">
        <v>18</v>
      </c>
    </row>
    <row r="198" spans="1:6" x14ac:dyDescent="0.2">
      <c r="A198" t="s">
        <v>10</v>
      </c>
      <c r="B198">
        <v>9939.2622519723209</v>
      </c>
      <c r="C198">
        <v>224966.64</v>
      </c>
      <c r="D198">
        <v>11.370116702286399</v>
      </c>
      <c r="E198">
        <v>8</v>
      </c>
      <c r="F198" t="s">
        <v>18</v>
      </c>
    </row>
    <row r="199" spans="1:6" x14ac:dyDescent="0.2">
      <c r="A199" t="s">
        <v>10</v>
      </c>
      <c r="B199">
        <v>2227.3112102569899</v>
      </c>
      <c r="C199">
        <v>69575</v>
      </c>
      <c r="D199">
        <v>1.32228308674494</v>
      </c>
      <c r="E199">
        <v>9</v>
      </c>
      <c r="F199" t="s">
        <v>19</v>
      </c>
    </row>
    <row r="200" spans="1:6" x14ac:dyDescent="0.2">
      <c r="A200" t="s">
        <v>8</v>
      </c>
      <c r="B200">
        <v>2572.3547656247301</v>
      </c>
      <c r="C200">
        <v>314394.86</v>
      </c>
      <c r="D200">
        <v>2.1896585698604598</v>
      </c>
      <c r="E200">
        <v>9</v>
      </c>
      <c r="F200" t="s">
        <v>19</v>
      </c>
    </row>
    <row r="201" spans="1:6" x14ac:dyDescent="0.2">
      <c r="A201" t="s">
        <v>6</v>
      </c>
      <c r="B201">
        <v>2901.4080168336</v>
      </c>
      <c r="C201">
        <v>582226.6</v>
      </c>
      <c r="D201">
        <v>3.3912873859882402</v>
      </c>
      <c r="E201">
        <v>9</v>
      </c>
      <c r="F201" t="s">
        <v>19</v>
      </c>
    </row>
    <row r="202" spans="1:6" x14ac:dyDescent="0.2">
      <c r="A202" t="s">
        <v>9</v>
      </c>
      <c r="B202">
        <v>3206.4375083832401</v>
      </c>
      <c r="C202">
        <v>680919.39</v>
      </c>
      <c r="D202">
        <v>4.1683786526997899</v>
      </c>
      <c r="E202">
        <v>9</v>
      </c>
      <c r="F202" t="s">
        <v>19</v>
      </c>
    </row>
    <row r="203" spans="1:6" x14ac:dyDescent="0.2">
      <c r="A203" t="s">
        <v>10</v>
      </c>
      <c r="B203">
        <v>3512.4699505348299</v>
      </c>
      <c r="C203">
        <v>754024.32</v>
      </c>
      <c r="D203">
        <v>5.3975297287782</v>
      </c>
      <c r="E203">
        <v>9</v>
      </c>
      <c r="F203" t="s">
        <v>19</v>
      </c>
    </row>
    <row r="204" spans="1:6" x14ac:dyDescent="0.2">
      <c r="A204" t="s">
        <v>9</v>
      </c>
      <c r="B204">
        <v>3857.52308121632</v>
      </c>
      <c r="C204">
        <v>1254483.08</v>
      </c>
      <c r="D204">
        <v>5.6686851596514396</v>
      </c>
      <c r="E204">
        <v>9</v>
      </c>
      <c r="F204" t="s">
        <v>19</v>
      </c>
    </row>
    <row r="205" spans="1:6" x14ac:dyDescent="0.2">
      <c r="A205" t="s">
        <v>8</v>
      </c>
      <c r="B205">
        <v>4163.5511811967199</v>
      </c>
      <c r="C205">
        <v>548275.04</v>
      </c>
      <c r="D205">
        <v>6.2698493615468296</v>
      </c>
      <c r="E205">
        <v>9</v>
      </c>
      <c r="F205" t="s">
        <v>19</v>
      </c>
    </row>
    <row r="206" spans="1:6" x14ac:dyDescent="0.2">
      <c r="A206" t="s">
        <v>10</v>
      </c>
      <c r="B206">
        <v>4492.6028116657999</v>
      </c>
      <c r="C206">
        <v>1438024.61</v>
      </c>
      <c r="D206">
        <v>7.0203313028494501</v>
      </c>
      <c r="E206">
        <v>9</v>
      </c>
      <c r="F206" t="s">
        <v>19</v>
      </c>
    </row>
    <row r="207" spans="1:6" x14ac:dyDescent="0.2">
      <c r="A207" t="s">
        <v>6</v>
      </c>
      <c r="B207">
        <v>4837.6590715584498</v>
      </c>
      <c r="C207">
        <v>757960.39</v>
      </c>
      <c r="D207">
        <v>7.4093134279727897</v>
      </c>
      <c r="E207">
        <v>9</v>
      </c>
      <c r="F207" t="s">
        <v>19</v>
      </c>
    </row>
    <row r="208" spans="1:6" x14ac:dyDescent="0.2">
      <c r="A208" t="s">
        <v>8</v>
      </c>
      <c r="B208">
        <v>5142.6732346917597</v>
      </c>
      <c r="C208">
        <v>664941.75</v>
      </c>
      <c r="D208">
        <v>7.6490736877600298</v>
      </c>
      <c r="E208">
        <v>9</v>
      </c>
      <c r="F208" t="s">
        <v>19</v>
      </c>
    </row>
    <row r="209" spans="1:6" x14ac:dyDescent="0.2">
      <c r="A209" t="s">
        <v>11</v>
      </c>
      <c r="B209">
        <v>5471.7319739418599</v>
      </c>
      <c r="C209">
        <v>1590080.88</v>
      </c>
      <c r="D209">
        <v>8.2827520942370096</v>
      </c>
      <c r="E209">
        <v>9</v>
      </c>
      <c r="F209" t="s">
        <v>19</v>
      </c>
    </row>
    <row r="210" spans="1:6" x14ac:dyDescent="0.2">
      <c r="A210" t="s">
        <v>6</v>
      </c>
      <c r="B210">
        <v>5776.7624154072</v>
      </c>
      <c r="C210">
        <v>652714.79</v>
      </c>
      <c r="D210">
        <v>8.4276596522013296</v>
      </c>
      <c r="E210">
        <v>9</v>
      </c>
      <c r="F210" t="s">
        <v>19</v>
      </c>
    </row>
    <row r="211" spans="1:6" x14ac:dyDescent="0.2">
      <c r="A211" t="s">
        <v>6</v>
      </c>
      <c r="B211">
        <v>6081.8053924411397</v>
      </c>
      <c r="C211">
        <v>148505.29</v>
      </c>
      <c r="D211">
        <v>8.5816215947945906</v>
      </c>
      <c r="E211">
        <v>9</v>
      </c>
      <c r="F211" t="s">
        <v>19</v>
      </c>
    </row>
    <row r="212" spans="1:6" x14ac:dyDescent="0.2">
      <c r="A212" t="s">
        <v>9</v>
      </c>
      <c r="B212">
        <v>6387.8316418771801</v>
      </c>
      <c r="C212">
        <v>219517.01</v>
      </c>
      <c r="D212">
        <v>8.9078380798975605</v>
      </c>
      <c r="E212">
        <v>9</v>
      </c>
      <c r="F212" t="s">
        <v>19</v>
      </c>
    </row>
    <row r="213" spans="1:6" x14ac:dyDescent="0.2">
      <c r="A213" t="s">
        <v>9</v>
      </c>
      <c r="B213">
        <v>6693.8533475744898</v>
      </c>
      <c r="C213">
        <v>247054.9</v>
      </c>
      <c r="D213">
        <v>9.1525961355050391</v>
      </c>
      <c r="E213">
        <v>9</v>
      </c>
      <c r="F213" t="s">
        <v>19</v>
      </c>
    </row>
    <row r="214" spans="1:6" x14ac:dyDescent="0.2">
      <c r="A214" t="s">
        <v>6</v>
      </c>
      <c r="B214">
        <v>6998.8817349165201</v>
      </c>
      <c r="C214">
        <v>114855.25</v>
      </c>
      <c r="D214">
        <v>9.3293358858108508</v>
      </c>
      <c r="E214">
        <v>9</v>
      </c>
      <c r="F214" t="s">
        <v>19</v>
      </c>
    </row>
    <row r="215" spans="1:6" x14ac:dyDescent="0.2">
      <c r="A215" t="s">
        <v>10</v>
      </c>
      <c r="B215">
        <v>7343.9385835958001</v>
      </c>
      <c r="C215">
        <v>54339.38</v>
      </c>
      <c r="D215">
        <v>9.4516992524941799</v>
      </c>
      <c r="E215">
        <v>9</v>
      </c>
      <c r="F215" t="s">
        <v>19</v>
      </c>
    </row>
    <row r="216" spans="1:6" x14ac:dyDescent="0.2">
      <c r="A216" t="s">
        <v>6</v>
      </c>
      <c r="B216">
        <v>1270.1561698815101</v>
      </c>
      <c r="C216">
        <v>201185.76</v>
      </c>
      <c r="D216">
        <v>0.80731301066080696</v>
      </c>
      <c r="E216">
        <v>10</v>
      </c>
      <c r="F216" t="s">
        <v>20</v>
      </c>
    </row>
    <row r="217" spans="1:6" x14ac:dyDescent="0.2">
      <c r="A217" t="s">
        <v>10</v>
      </c>
      <c r="B217">
        <v>1575.20117655781</v>
      </c>
      <c r="C217">
        <v>156151.31</v>
      </c>
      <c r="D217">
        <v>0.80731301066080696</v>
      </c>
      <c r="E217">
        <v>10</v>
      </c>
      <c r="F217" t="s">
        <v>20</v>
      </c>
    </row>
    <row r="218" spans="1:6" x14ac:dyDescent="0.2">
      <c r="A218" t="s">
        <v>10</v>
      </c>
      <c r="B218">
        <v>1920.24518889452</v>
      </c>
      <c r="C218">
        <v>389222.51</v>
      </c>
      <c r="D218">
        <v>0.96089091854095499</v>
      </c>
      <c r="E218">
        <v>10</v>
      </c>
      <c r="F218" t="s">
        <v>20</v>
      </c>
    </row>
    <row r="219" spans="1:6" x14ac:dyDescent="0.2">
      <c r="A219" t="s">
        <v>6</v>
      </c>
      <c r="B219">
        <v>2265.29915105191</v>
      </c>
      <c r="C219">
        <v>515877.26</v>
      </c>
      <c r="D219">
        <v>0.96089091854095499</v>
      </c>
      <c r="E219">
        <v>10</v>
      </c>
      <c r="F219" t="s">
        <v>20</v>
      </c>
    </row>
    <row r="220" spans="1:6" x14ac:dyDescent="0.2">
      <c r="A220" t="s">
        <v>8</v>
      </c>
      <c r="B220">
        <v>2570.3411059891901</v>
      </c>
      <c r="C220">
        <v>874948.49</v>
      </c>
      <c r="D220">
        <v>1.10996682004929</v>
      </c>
      <c r="E220">
        <v>10</v>
      </c>
      <c r="F220" t="s">
        <v>20</v>
      </c>
    </row>
    <row r="221" spans="1:6" x14ac:dyDescent="0.2">
      <c r="A221" t="s">
        <v>9</v>
      </c>
      <c r="B221">
        <v>2899.3894923728099</v>
      </c>
      <c r="C221">
        <v>631202.54</v>
      </c>
      <c r="D221">
        <v>2.3703532870292698</v>
      </c>
      <c r="E221">
        <v>10</v>
      </c>
      <c r="F221" t="s">
        <v>20</v>
      </c>
    </row>
    <row r="222" spans="1:6" x14ac:dyDescent="0.2">
      <c r="A222" t="s">
        <v>9</v>
      </c>
      <c r="B222">
        <v>3205.4197466765399</v>
      </c>
      <c r="C222">
        <v>524654.41</v>
      </c>
      <c r="D222">
        <v>3.5990953103383401</v>
      </c>
      <c r="E222">
        <v>10</v>
      </c>
      <c r="F222" t="s">
        <v>20</v>
      </c>
    </row>
    <row r="223" spans="1:6" x14ac:dyDescent="0.2">
      <c r="A223" t="s">
        <v>9</v>
      </c>
      <c r="B223">
        <v>3511.4494874008101</v>
      </c>
      <c r="C223">
        <v>308636.18</v>
      </c>
      <c r="D223">
        <v>4.5027640199343404</v>
      </c>
      <c r="E223">
        <v>10</v>
      </c>
      <c r="F223" t="s">
        <v>20</v>
      </c>
    </row>
    <row r="224" spans="1:6" x14ac:dyDescent="0.2">
      <c r="A224" t="s">
        <v>10</v>
      </c>
      <c r="B224">
        <v>3817.4977457662999</v>
      </c>
      <c r="C224">
        <v>460568.27</v>
      </c>
      <c r="D224">
        <v>5.4291594202995297</v>
      </c>
      <c r="E224">
        <v>10</v>
      </c>
      <c r="F224" t="s">
        <v>20</v>
      </c>
    </row>
    <row r="225" spans="1:6" x14ac:dyDescent="0.2">
      <c r="A225" t="s">
        <v>9</v>
      </c>
      <c r="B225">
        <v>4162.5524253199401</v>
      </c>
      <c r="C225">
        <v>634924.16</v>
      </c>
      <c r="D225">
        <v>6.0890235439618401</v>
      </c>
      <c r="E225">
        <v>10</v>
      </c>
      <c r="F225" t="s">
        <v>20</v>
      </c>
    </row>
    <row r="226" spans="1:6" x14ac:dyDescent="0.2">
      <c r="A226" t="s">
        <v>8</v>
      </c>
      <c r="B226">
        <v>4468.59128987028</v>
      </c>
      <c r="C226">
        <v>752940.61</v>
      </c>
      <c r="D226">
        <v>6.59985890345573</v>
      </c>
      <c r="E226">
        <v>10</v>
      </c>
      <c r="F226" t="s">
        <v>20</v>
      </c>
    </row>
    <row r="227" spans="1:6" x14ac:dyDescent="0.2">
      <c r="A227" t="s">
        <v>9</v>
      </c>
      <c r="B227">
        <v>4797.6365144841302</v>
      </c>
      <c r="C227">
        <v>659811.18999999994</v>
      </c>
      <c r="D227">
        <v>7.2871672606150302</v>
      </c>
      <c r="E227">
        <v>10</v>
      </c>
      <c r="F227" t="s">
        <v>20</v>
      </c>
    </row>
    <row r="228" spans="1:6" x14ac:dyDescent="0.2">
      <c r="A228" t="s">
        <v>11</v>
      </c>
      <c r="B228">
        <v>5103.6730828015898</v>
      </c>
      <c r="C228">
        <v>1584685.42</v>
      </c>
      <c r="D228">
        <v>7.8572145278930696</v>
      </c>
      <c r="E228">
        <v>10</v>
      </c>
      <c r="F228" t="s">
        <v>20</v>
      </c>
    </row>
    <row r="229" spans="1:6" x14ac:dyDescent="0.2">
      <c r="A229" t="s">
        <v>8</v>
      </c>
      <c r="B229">
        <v>5432.7318481867196</v>
      </c>
      <c r="C229">
        <v>1232948.3</v>
      </c>
      <c r="D229">
        <v>8.3733119284788806</v>
      </c>
      <c r="E229">
        <v>10</v>
      </c>
      <c r="F229" t="s">
        <v>20</v>
      </c>
    </row>
    <row r="230" spans="1:6" x14ac:dyDescent="0.2">
      <c r="A230" t="s">
        <v>6</v>
      </c>
      <c r="B230">
        <v>5737.7524012976401</v>
      </c>
      <c r="C230">
        <v>808101.62</v>
      </c>
      <c r="D230">
        <v>8.5182196116129596</v>
      </c>
      <c r="E230">
        <v>10</v>
      </c>
      <c r="F230" t="s">
        <v>20</v>
      </c>
    </row>
    <row r="231" spans="1:6" x14ac:dyDescent="0.2">
      <c r="A231" t="s">
        <v>6</v>
      </c>
      <c r="B231">
        <v>6042.78315044191</v>
      </c>
      <c r="C231">
        <v>57529.24</v>
      </c>
      <c r="D231">
        <v>8.49104876872698</v>
      </c>
      <c r="E231">
        <v>10</v>
      </c>
      <c r="F231" t="s">
        <v>20</v>
      </c>
    </row>
    <row r="232" spans="1:6" x14ac:dyDescent="0.2">
      <c r="A232" t="s">
        <v>9</v>
      </c>
      <c r="B232">
        <v>6348.8229867677001</v>
      </c>
      <c r="C232">
        <v>187655.6</v>
      </c>
      <c r="D232">
        <v>8.8534415856679303</v>
      </c>
      <c r="E232">
        <v>10</v>
      </c>
      <c r="F232" t="s">
        <v>20</v>
      </c>
    </row>
    <row r="233" spans="1:6" x14ac:dyDescent="0.2">
      <c r="A233" t="s">
        <v>9</v>
      </c>
      <c r="B233">
        <v>6654.8510712654997</v>
      </c>
      <c r="C233">
        <v>167518.35</v>
      </c>
      <c r="D233">
        <v>9.1208622272491393</v>
      </c>
      <c r="E233">
        <v>10</v>
      </c>
      <c r="F233" t="s">
        <v>20</v>
      </c>
    </row>
    <row r="234" spans="1:6" x14ac:dyDescent="0.2">
      <c r="A234" t="s">
        <v>9</v>
      </c>
      <c r="B234">
        <v>1350.21596534737</v>
      </c>
      <c r="C234">
        <v>380521.21</v>
      </c>
      <c r="D234">
        <v>0.83893310186068204</v>
      </c>
      <c r="E234">
        <v>11</v>
      </c>
      <c r="F234" t="s">
        <v>21</v>
      </c>
    </row>
    <row r="235" spans="1:6" x14ac:dyDescent="0.2">
      <c r="A235" t="s">
        <v>10</v>
      </c>
      <c r="B235">
        <v>1656.24330978226</v>
      </c>
      <c r="C235">
        <v>381854.38</v>
      </c>
      <c r="D235">
        <v>0.92926780339876802</v>
      </c>
      <c r="E235">
        <v>11</v>
      </c>
      <c r="F235" t="s">
        <v>21</v>
      </c>
    </row>
    <row r="236" spans="1:6" x14ac:dyDescent="0.2">
      <c r="A236" t="s">
        <v>6</v>
      </c>
      <c r="B236">
        <v>2001.29471127133</v>
      </c>
      <c r="C236">
        <v>469818.91</v>
      </c>
      <c r="D236">
        <v>1.0512361283779099</v>
      </c>
      <c r="E236">
        <v>11</v>
      </c>
      <c r="F236" t="s">
        <v>21</v>
      </c>
    </row>
    <row r="237" spans="1:6" x14ac:dyDescent="0.2">
      <c r="A237" t="s">
        <v>8</v>
      </c>
      <c r="B237">
        <v>2306.3354797053898</v>
      </c>
      <c r="C237">
        <v>985229.19</v>
      </c>
      <c r="D237">
        <v>1.1686931864102701</v>
      </c>
      <c r="E237">
        <v>11</v>
      </c>
      <c r="F237" t="s">
        <v>21</v>
      </c>
    </row>
    <row r="238" spans="1:6" x14ac:dyDescent="0.2">
      <c r="A238" t="s">
        <v>10</v>
      </c>
      <c r="B238">
        <v>2635.3898874716501</v>
      </c>
      <c r="C238">
        <v>957638.39</v>
      </c>
      <c r="D238">
        <v>2.7904798205375698</v>
      </c>
      <c r="E238">
        <v>11</v>
      </c>
      <c r="F238" t="s">
        <v>21</v>
      </c>
    </row>
    <row r="239" spans="1:6" x14ac:dyDescent="0.2">
      <c r="A239" t="s">
        <v>9</v>
      </c>
      <c r="B239">
        <v>2980.4405191382002</v>
      </c>
      <c r="C239">
        <v>616175.31000000006</v>
      </c>
      <c r="D239">
        <v>3.9289245879332202</v>
      </c>
      <c r="E239">
        <v>11</v>
      </c>
      <c r="F239" t="s">
        <v>21</v>
      </c>
    </row>
    <row r="240" spans="1:6" x14ac:dyDescent="0.2">
      <c r="A240" t="s">
        <v>6</v>
      </c>
      <c r="B240">
        <v>3286.4679979921698</v>
      </c>
      <c r="C240">
        <v>1369242.86</v>
      </c>
      <c r="D240">
        <v>4.9501272952238704</v>
      </c>
      <c r="E240">
        <v>11</v>
      </c>
      <c r="F240" t="s">
        <v>21</v>
      </c>
    </row>
    <row r="241" spans="1:6" x14ac:dyDescent="0.2">
      <c r="A241" t="s">
        <v>10</v>
      </c>
      <c r="B241">
        <v>3591.50561305157</v>
      </c>
      <c r="C241">
        <v>1115668.08</v>
      </c>
      <c r="D241">
        <v>5.1308935439268701</v>
      </c>
      <c r="E241">
        <v>11</v>
      </c>
      <c r="F241" t="s">
        <v>21</v>
      </c>
    </row>
    <row r="242" spans="1:6" x14ac:dyDescent="0.2">
      <c r="A242" t="s">
        <v>9</v>
      </c>
      <c r="B242">
        <v>3936.55722733125</v>
      </c>
      <c r="C242">
        <v>1309925.8799999999</v>
      </c>
      <c r="D242">
        <v>5.7590797618706997</v>
      </c>
      <c r="E242">
        <v>11</v>
      </c>
      <c r="F242" t="s">
        <v>21</v>
      </c>
    </row>
    <row r="243" spans="1:6" x14ac:dyDescent="0.2">
      <c r="A243" t="s">
        <v>10</v>
      </c>
      <c r="B243">
        <v>4242.5891561591498</v>
      </c>
      <c r="C243">
        <v>937661.03</v>
      </c>
      <c r="D243">
        <v>6.3602637445608803</v>
      </c>
      <c r="E243">
        <v>11</v>
      </c>
      <c r="F243" t="s">
        <v>21</v>
      </c>
    </row>
    <row r="244" spans="1:6" x14ac:dyDescent="0.2">
      <c r="A244" t="s">
        <v>11</v>
      </c>
      <c r="B244">
        <v>4587.6394933793099</v>
      </c>
      <c r="C244">
        <v>1510555.48</v>
      </c>
      <c r="D244">
        <v>6.8982393697579703</v>
      </c>
      <c r="E244">
        <v>11</v>
      </c>
      <c r="F244" t="s">
        <v>21</v>
      </c>
    </row>
    <row r="245" spans="1:6" x14ac:dyDescent="0.2">
      <c r="A245" t="s">
        <v>8</v>
      </c>
      <c r="B245">
        <v>4916.6917018061704</v>
      </c>
      <c r="C245">
        <v>1274032.26</v>
      </c>
      <c r="D245">
        <v>7.5586016451994604</v>
      </c>
      <c r="E245">
        <v>11</v>
      </c>
      <c r="F245" t="s">
        <v>21</v>
      </c>
    </row>
    <row r="246" spans="1:6" x14ac:dyDescent="0.2">
      <c r="A246" t="s">
        <v>10</v>
      </c>
      <c r="B246">
        <v>5261.7501965144902</v>
      </c>
      <c r="C246">
        <v>921277.07</v>
      </c>
      <c r="D246">
        <v>7.97942051049868</v>
      </c>
      <c r="E246">
        <v>11</v>
      </c>
      <c r="F246" t="s">
        <v>21</v>
      </c>
    </row>
    <row r="247" spans="1:6" x14ac:dyDescent="0.2">
      <c r="A247" t="s">
        <v>6</v>
      </c>
      <c r="B247">
        <v>5566.7884602311296</v>
      </c>
      <c r="C247">
        <v>907975.14</v>
      </c>
      <c r="D247">
        <v>8.2193639949639596</v>
      </c>
      <c r="E247">
        <v>11</v>
      </c>
      <c r="F247" t="s">
        <v>21</v>
      </c>
    </row>
    <row r="248" spans="1:6" x14ac:dyDescent="0.2">
      <c r="A248" t="s">
        <v>8</v>
      </c>
      <c r="B248">
        <v>5895.8388106356497</v>
      </c>
      <c r="C248">
        <v>580333.5</v>
      </c>
      <c r="D248">
        <v>8.6993728454589796</v>
      </c>
      <c r="E248">
        <v>11</v>
      </c>
      <c r="F248" t="s">
        <v>21</v>
      </c>
    </row>
    <row r="249" spans="1:6" x14ac:dyDescent="0.2">
      <c r="A249" t="s">
        <v>8</v>
      </c>
      <c r="B249">
        <v>6224.8895347738799</v>
      </c>
      <c r="C249">
        <v>179063.21</v>
      </c>
      <c r="D249">
        <v>9.20696947929064</v>
      </c>
      <c r="E249">
        <v>11</v>
      </c>
      <c r="F249" t="s">
        <v>21</v>
      </c>
    </row>
    <row r="250" spans="1:6" x14ac:dyDescent="0.2">
      <c r="A250" t="s">
        <v>9</v>
      </c>
      <c r="B250">
        <v>6530.9302292183802</v>
      </c>
      <c r="C250">
        <v>346573.32</v>
      </c>
      <c r="D250">
        <v>9.4788820937951392</v>
      </c>
      <c r="E250">
        <v>11</v>
      </c>
      <c r="F250" t="s">
        <v>21</v>
      </c>
    </row>
    <row r="251" spans="1:6" x14ac:dyDescent="0.2">
      <c r="A251" t="s">
        <v>10</v>
      </c>
      <c r="B251">
        <v>6875.95307764476</v>
      </c>
      <c r="C251">
        <v>373992.68</v>
      </c>
      <c r="D251">
        <v>9.6601674453099609</v>
      </c>
      <c r="E251">
        <v>11</v>
      </c>
      <c r="F251" t="s">
        <v>21</v>
      </c>
    </row>
    <row r="252" spans="1:6" x14ac:dyDescent="0.2">
      <c r="A252" t="s">
        <v>9</v>
      </c>
      <c r="B252">
        <v>7181.9926795562696</v>
      </c>
      <c r="C252">
        <v>313001.18</v>
      </c>
      <c r="D252">
        <v>9.9594076609293598</v>
      </c>
      <c r="E252">
        <v>11</v>
      </c>
      <c r="F252" t="s">
        <v>21</v>
      </c>
    </row>
    <row r="253" spans="1:6" x14ac:dyDescent="0.2">
      <c r="A253" t="s">
        <v>10</v>
      </c>
      <c r="B253">
        <v>7527.0308348708204</v>
      </c>
      <c r="C253">
        <v>337700.69</v>
      </c>
      <c r="D253">
        <v>10.1407615458647</v>
      </c>
      <c r="E253">
        <v>11</v>
      </c>
      <c r="F253" t="s">
        <v>21</v>
      </c>
    </row>
    <row r="254" spans="1:6" x14ac:dyDescent="0.2">
      <c r="A254" t="s">
        <v>6</v>
      </c>
      <c r="B254">
        <v>7832.0673665121503</v>
      </c>
      <c r="C254">
        <v>434826.21</v>
      </c>
      <c r="D254">
        <v>10.231469952631</v>
      </c>
      <c r="E254">
        <v>11</v>
      </c>
      <c r="F254" t="s">
        <v>21</v>
      </c>
    </row>
    <row r="255" spans="1:6" x14ac:dyDescent="0.2">
      <c r="A255" t="s">
        <v>9</v>
      </c>
      <c r="B255">
        <v>8138.0814058839796</v>
      </c>
      <c r="C255">
        <v>327883.21000000002</v>
      </c>
      <c r="D255">
        <v>10.4129120862166</v>
      </c>
      <c r="E255">
        <v>11</v>
      </c>
      <c r="F255" t="s">
        <v>21</v>
      </c>
    </row>
    <row r="256" spans="1:6" x14ac:dyDescent="0.2">
      <c r="A256" t="s">
        <v>10</v>
      </c>
      <c r="B256">
        <v>8483.1433509404396</v>
      </c>
      <c r="C256">
        <v>227252.67</v>
      </c>
      <c r="D256">
        <v>10.6215575611273</v>
      </c>
      <c r="E256">
        <v>11</v>
      </c>
      <c r="F256" t="s">
        <v>21</v>
      </c>
    </row>
    <row r="257" spans="1:6" x14ac:dyDescent="0.2">
      <c r="A257" t="s">
        <v>8</v>
      </c>
      <c r="B257">
        <v>8812.1786780198709</v>
      </c>
      <c r="C257">
        <v>153627.09</v>
      </c>
      <c r="D257">
        <v>10.948215168285399</v>
      </c>
      <c r="E257">
        <v>11</v>
      </c>
      <c r="F257" t="s">
        <v>21</v>
      </c>
    </row>
    <row r="258" spans="1:6" x14ac:dyDescent="0.2">
      <c r="A258" t="s">
        <v>6</v>
      </c>
      <c r="B258">
        <v>9117.2147629236206</v>
      </c>
      <c r="C258">
        <v>208420.69</v>
      </c>
      <c r="D258">
        <v>11.038978453048101</v>
      </c>
      <c r="E258">
        <v>11</v>
      </c>
      <c r="F258" t="s">
        <v>21</v>
      </c>
    </row>
    <row r="259" spans="1:6" x14ac:dyDescent="0.2">
      <c r="A259" t="s">
        <v>10</v>
      </c>
      <c r="B259">
        <v>9462.2584461745992</v>
      </c>
      <c r="C259">
        <v>105912.92</v>
      </c>
      <c r="D259">
        <v>11.129719878800699</v>
      </c>
      <c r="E259">
        <v>11</v>
      </c>
      <c r="F259" t="s">
        <v>21</v>
      </c>
    </row>
    <row r="260" spans="1:6" x14ac:dyDescent="0.2">
      <c r="A260" t="s">
        <v>8</v>
      </c>
      <c r="B260">
        <v>9791.3072354798405</v>
      </c>
      <c r="C260">
        <v>47755.96</v>
      </c>
      <c r="D260">
        <v>11.4291141863346</v>
      </c>
      <c r="E260">
        <v>11</v>
      </c>
      <c r="F260" t="s">
        <v>21</v>
      </c>
    </row>
    <row r="261" spans="1:6" x14ac:dyDescent="0.2">
      <c r="A261" t="s">
        <v>10</v>
      </c>
      <c r="B261">
        <v>10136.3652995065</v>
      </c>
      <c r="C261">
        <v>77986.58</v>
      </c>
      <c r="D261">
        <v>11.519863094457</v>
      </c>
      <c r="E261">
        <v>11</v>
      </c>
      <c r="F261" t="s">
        <v>21</v>
      </c>
    </row>
    <row r="262" spans="1:6" x14ac:dyDescent="0.2">
      <c r="A262" t="s">
        <v>8</v>
      </c>
      <c r="B262">
        <v>10465.382219835101</v>
      </c>
      <c r="C262">
        <v>17624.68</v>
      </c>
      <c r="D262">
        <v>11.728699936040201</v>
      </c>
      <c r="E262">
        <v>11</v>
      </c>
      <c r="F262" t="s">
        <v>21</v>
      </c>
    </row>
    <row r="263" spans="1:6" x14ac:dyDescent="0.2">
      <c r="A263" t="s">
        <v>8</v>
      </c>
      <c r="B263">
        <v>10794.472066821299</v>
      </c>
      <c r="C263">
        <v>31867.85</v>
      </c>
      <c r="D263">
        <v>11.9375988936106</v>
      </c>
      <c r="E263">
        <v>11</v>
      </c>
      <c r="F263" t="s">
        <v>21</v>
      </c>
    </row>
    <row r="264" spans="1:6" x14ac:dyDescent="0.2">
      <c r="A264" t="s">
        <v>9</v>
      </c>
      <c r="B264">
        <v>3819.4844352893801</v>
      </c>
      <c r="C264">
        <v>624330.47</v>
      </c>
      <c r="D264">
        <v>6.32862172878583</v>
      </c>
      <c r="E264">
        <v>12</v>
      </c>
      <c r="F264" t="s">
        <v>22</v>
      </c>
    </row>
    <row r="265" spans="1:6" x14ac:dyDescent="0.2">
      <c r="A265" t="s">
        <v>10</v>
      </c>
      <c r="B265">
        <v>4125.51589678457</v>
      </c>
      <c r="C265">
        <v>264818.92</v>
      </c>
      <c r="D265">
        <v>6.78068572041194</v>
      </c>
      <c r="E265">
        <v>12</v>
      </c>
      <c r="F265" t="s">
        <v>22</v>
      </c>
    </row>
    <row r="266" spans="1:6" x14ac:dyDescent="0.2">
      <c r="A266" t="s">
        <v>6</v>
      </c>
      <c r="B266">
        <v>4470.5670098542996</v>
      </c>
      <c r="C266">
        <v>970478.36</v>
      </c>
      <c r="D266">
        <v>7.1967074032306702</v>
      </c>
      <c r="E266">
        <v>12</v>
      </c>
      <c r="F266" t="s">
        <v>22</v>
      </c>
    </row>
    <row r="267" spans="1:6" x14ac:dyDescent="0.2">
      <c r="A267" t="s">
        <v>8</v>
      </c>
      <c r="B267">
        <v>4775.6125601486801</v>
      </c>
      <c r="C267">
        <v>639993.81000000006</v>
      </c>
      <c r="D267">
        <v>7.5902651703039803</v>
      </c>
      <c r="E267">
        <v>12</v>
      </c>
      <c r="F267" t="s">
        <v>22</v>
      </c>
    </row>
    <row r="268" spans="1:6" x14ac:dyDescent="0.2">
      <c r="A268" t="s">
        <v>10</v>
      </c>
      <c r="B268">
        <v>5104.67167892216</v>
      </c>
      <c r="C268">
        <v>888367.02</v>
      </c>
      <c r="D268">
        <v>8.0111072178363791</v>
      </c>
      <c r="E268">
        <v>12</v>
      </c>
      <c r="F268" t="s">
        <v>22</v>
      </c>
    </row>
    <row r="269" spans="1:6" x14ac:dyDescent="0.2">
      <c r="A269" t="s">
        <v>11</v>
      </c>
      <c r="B269">
        <v>5449.7178673860399</v>
      </c>
      <c r="C269">
        <v>1444812.44</v>
      </c>
      <c r="D269">
        <v>8.2827520942370096</v>
      </c>
      <c r="E269">
        <v>12</v>
      </c>
      <c r="F269" t="s">
        <v>22</v>
      </c>
    </row>
    <row r="270" spans="1:6" x14ac:dyDescent="0.2">
      <c r="A270" t="s">
        <v>10</v>
      </c>
      <c r="B270">
        <v>5794.7715085060099</v>
      </c>
      <c r="C270">
        <v>936985.35</v>
      </c>
      <c r="D270">
        <v>8.6721980766137392</v>
      </c>
      <c r="E270">
        <v>12</v>
      </c>
      <c r="F270" t="s">
        <v>22</v>
      </c>
    </row>
    <row r="271" spans="1:6" x14ac:dyDescent="0.2">
      <c r="A271" t="s">
        <v>8</v>
      </c>
      <c r="B271">
        <v>6123.8330147407096</v>
      </c>
      <c r="C271">
        <v>374582.15</v>
      </c>
      <c r="D271">
        <v>9.0891361212412498</v>
      </c>
      <c r="E271">
        <v>12</v>
      </c>
      <c r="F271" t="s">
        <v>22</v>
      </c>
    </row>
    <row r="272" spans="1:6" x14ac:dyDescent="0.2">
      <c r="A272" t="s">
        <v>8</v>
      </c>
      <c r="B272">
        <v>6452.8801314593902</v>
      </c>
      <c r="C272">
        <v>345760.6</v>
      </c>
      <c r="D272">
        <v>9.5106034612337709</v>
      </c>
      <c r="E272">
        <v>12</v>
      </c>
      <c r="F272" t="s">
        <v>22</v>
      </c>
    </row>
    <row r="273" spans="1:6" x14ac:dyDescent="0.2">
      <c r="A273" t="s">
        <v>6</v>
      </c>
      <c r="B273">
        <v>6757.92002748086</v>
      </c>
      <c r="C273">
        <v>216383.16</v>
      </c>
      <c r="D273">
        <v>9.6329748367945296</v>
      </c>
      <c r="E273">
        <v>12</v>
      </c>
      <c r="F273" t="s">
        <v>22</v>
      </c>
    </row>
    <row r="274" spans="1:6" x14ac:dyDescent="0.2">
      <c r="A274" t="s">
        <v>9</v>
      </c>
      <c r="B274">
        <v>7063.9381926039196</v>
      </c>
      <c r="C274">
        <v>195345.47</v>
      </c>
      <c r="D274">
        <v>9.9322059944947494</v>
      </c>
      <c r="E274">
        <v>12</v>
      </c>
      <c r="F274" t="s">
        <v>22</v>
      </c>
    </row>
    <row r="275" spans="1:6" x14ac:dyDescent="0.2">
      <c r="A275" t="s">
        <v>10</v>
      </c>
      <c r="B275">
        <v>1334.2212848020399</v>
      </c>
      <c r="C275">
        <v>316411.02</v>
      </c>
      <c r="D275">
        <v>0.89764954404830899</v>
      </c>
      <c r="E275">
        <v>13</v>
      </c>
      <c r="F275" t="s">
        <v>23</v>
      </c>
    </row>
    <row r="276" spans="1:6" x14ac:dyDescent="0.2">
      <c r="A276" t="s">
        <v>9</v>
      </c>
      <c r="B276">
        <v>1679.2684260025301</v>
      </c>
      <c r="C276">
        <v>136107.07999999999</v>
      </c>
      <c r="D276">
        <v>0.98799588637351998</v>
      </c>
      <c r="E276">
        <v>13</v>
      </c>
      <c r="F276" t="s">
        <v>23</v>
      </c>
    </row>
    <row r="277" spans="1:6" x14ac:dyDescent="0.2">
      <c r="A277" t="s">
        <v>8</v>
      </c>
      <c r="B277">
        <v>1985.2981879423701</v>
      </c>
      <c r="C277">
        <v>364123.16</v>
      </c>
      <c r="D277">
        <v>1.1686931864102701</v>
      </c>
      <c r="E277">
        <v>13</v>
      </c>
      <c r="F277" t="s">
        <v>23</v>
      </c>
    </row>
    <row r="278" spans="1:6" x14ac:dyDescent="0.2">
      <c r="A278" t="s">
        <v>9</v>
      </c>
      <c r="B278">
        <v>2314.3504238800101</v>
      </c>
      <c r="C278">
        <v>128214.42</v>
      </c>
      <c r="D278">
        <v>2.4607023771285998</v>
      </c>
      <c r="E278">
        <v>13</v>
      </c>
      <c r="F278" t="s">
        <v>23</v>
      </c>
    </row>
    <row r="279" spans="1:6" x14ac:dyDescent="0.2">
      <c r="A279" t="s">
        <v>6</v>
      </c>
      <c r="B279">
        <v>2620.3789518436001</v>
      </c>
      <c r="C279">
        <v>439974.14</v>
      </c>
      <c r="D279">
        <v>3.5087410445690201</v>
      </c>
      <c r="E279">
        <v>13</v>
      </c>
      <c r="F279" t="s">
        <v>23</v>
      </c>
    </row>
    <row r="280" spans="1:6" x14ac:dyDescent="0.2">
      <c r="A280" t="s">
        <v>10</v>
      </c>
      <c r="B280">
        <v>2925.420883454</v>
      </c>
      <c r="C280">
        <v>760263</v>
      </c>
      <c r="D280">
        <v>4.6790031865914701</v>
      </c>
      <c r="E280">
        <v>13</v>
      </c>
      <c r="F280" t="s">
        <v>23</v>
      </c>
    </row>
    <row r="281" spans="1:6" x14ac:dyDescent="0.2">
      <c r="A281" t="s">
        <v>11</v>
      </c>
      <c r="B281">
        <v>3270.4710740846599</v>
      </c>
      <c r="C281">
        <v>1440671.7</v>
      </c>
      <c r="D281">
        <v>5.2529161369482704</v>
      </c>
      <c r="E281">
        <v>13</v>
      </c>
      <c r="F281" t="s">
        <v>23</v>
      </c>
    </row>
    <row r="282" spans="1:6" x14ac:dyDescent="0.2">
      <c r="A282" t="s">
        <v>9</v>
      </c>
      <c r="B282">
        <v>3576.4987717990098</v>
      </c>
      <c r="C282">
        <v>1151835.55</v>
      </c>
      <c r="D282">
        <v>5.6099234874725301</v>
      </c>
      <c r="E282">
        <v>13</v>
      </c>
      <c r="F282" t="s">
        <v>23</v>
      </c>
    </row>
    <row r="283" spans="1:6" x14ac:dyDescent="0.2">
      <c r="A283" t="s">
        <v>10</v>
      </c>
      <c r="B283">
        <v>3921.5494264675799</v>
      </c>
      <c r="C283">
        <v>197739.6</v>
      </c>
      <c r="D283">
        <v>6.5727330104192099</v>
      </c>
      <c r="E283">
        <v>13</v>
      </c>
      <c r="F283" t="s">
        <v>23</v>
      </c>
    </row>
    <row r="284" spans="1:6" x14ac:dyDescent="0.2">
      <c r="A284" t="s">
        <v>6</v>
      </c>
      <c r="B284">
        <v>4226.5905385163896</v>
      </c>
      <c r="C284">
        <v>583079.57999999996</v>
      </c>
      <c r="D284">
        <v>6.59985890345573</v>
      </c>
      <c r="E284">
        <v>13</v>
      </c>
      <c r="F284" t="s">
        <v>23</v>
      </c>
    </row>
    <row r="285" spans="1:6" x14ac:dyDescent="0.2">
      <c r="A285" t="s">
        <v>6</v>
      </c>
      <c r="B285">
        <v>4531.6223338048803</v>
      </c>
      <c r="C285">
        <v>1217912.0900000001</v>
      </c>
      <c r="D285">
        <v>7.0519884542306297</v>
      </c>
      <c r="E285">
        <v>13</v>
      </c>
      <c r="F285" t="s">
        <v>23</v>
      </c>
    </row>
    <row r="286" spans="1:6" x14ac:dyDescent="0.2">
      <c r="A286" t="s">
        <v>10</v>
      </c>
      <c r="B286">
        <v>4876.6820805256502</v>
      </c>
      <c r="C286">
        <v>1134578.32</v>
      </c>
      <c r="D286">
        <v>7.4681177532355001</v>
      </c>
      <c r="E286">
        <v>13</v>
      </c>
      <c r="F286" t="s">
        <v>23</v>
      </c>
    </row>
    <row r="287" spans="1:6" x14ac:dyDescent="0.2">
      <c r="A287" t="s">
        <v>10</v>
      </c>
      <c r="B287">
        <v>5221.72130698198</v>
      </c>
      <c r="C287">
        <v>918000.58</v>
      </c>
      <c r="D287">
        <v>7.7667061543146803</v>
      </c>
      <c r="E287">
        <v>13</v>
      </c>
      <c r="F287" t="s">
        <v>23</v>
      </c>
    </row>
    <row r="288" spans="1:6" x14ac:dyDescent="0.2">
      <c r="A288" t="s">
        <v>6</v>
      </c>
      <c r="B288">
        <v>5526.7616711734199</v>
      </c>
      <c r="C288">
        <v>339557.5</v>
      </c>
      <c r="D288">
        <v>7.97942051049868</v>
      </c>
      <c r="E288">
        <v>13</v>
      </c>
      <c r="F288" t="s">
        <v>23</v>
      </c>
    </row>
    <row r="289" spans="1:6" x14ac:dyDescent="0.2">
      <c r="A289" t="s">
        <v>8</v>
      </c>
      <c r="B289">
        <v>5855.7815239434804</v>
      </c>
      <c r="C289">
        <v>434166.36</v>
      </c>
      <c r="D289">
        <v>8.5816215947945906</v>
      </c>
      <c r="E289">
        <v>13</v>
      </c>
      <c r="F289" t="s">
        <v>23</v>
      </c>
    </row>
    <row r="290" spans="1:6" x14ac:dyDescent="0.2">
      <c r="A290" t="s">
        <v>6</v>
      </c>
      <c r="B290">
        <v>6160.7980162884296</v>
      </c>
      <c r="C290">
        <v>57205.69</v>
      </c>
      <c r="D290">
        <v>8.6993728454589796</v>
      </c>
      <c r="E290">
        <v>13</v>
      </c>
      <c r="F290" t="s">
        <v>23</v>
      </c>
    </row>
    <row r="291" spans="1:6" x14ac:dyDescent="0.2">
      <c r="A291" t="s">
        <v>8</v>
      </c>
      <c r="B291">
        <v>6489.88664869279</v>
      </c>
      <c r="C291">
        <v>113725.07</v>
      </c>
      <c r="D291">
        <v>9.2704182362238594</v>
      </c>
      <c r="E291">
        <v>13</v>
      </c>
      <c r="F291" t="s">
        <v>23</v>
      </c>
    </row>
    <row r="292" spans="1:6" x14ac:dyDescent="0.2">
      <c r="A292" t="s">
        <v>9</v>
      </c>
      <c r="B292">
        <v>6795.9128018592401</v>
      </c>
      <c r="C292">
        <v>255484.63</v>
      </c>
      <c r="D292">
        <v>9.5695250208854699</v>
      </c>
      <c r="E292">
        <v>13</v>
      </c>
      <c r="F292" t="s">
        <v>23</v>
      </c>
    </row>
    <row r="293" spans="1:6" x14ac:dyDescent="0.2">
      <c r="A293" t="s">
        <v>6</v>
      </c>
      <c r="B293">
        <v>2033.2813311263899</v>
      </c>
      <c r="C293">
        <v>69712.800000000003</v>
      </c>
      <c r="D293">
        <v>0.87054953532218904</v>
      </c>
      <c r="E293">
        <v>14</v>
      </c>
      <c r="F293" t="s">
        <v>24</v>
      </c>
    </row>
    <row r="294" spans="1:6" x14ac:dyDescent="0.2">
      <c r="A294" t="s">
        <v>9</v>
      </c>
      <c r="B294">
        <v>2338.32208217789</v>
      </c>
      <c r="C294">
        <v>167976.67</v>
      </c>
      <c r="D294">
        <v>0.96089091854095499</v>
      </c>
      <c r="E294">
        <v>14</v>
      </c>
      <c r="F294" t="s">
        <v>24</v>
      </c>
    </row>
    <row r="295" spans="1:6" x14ac:dyDescent="0.2">
      <c r="A295" t="s">
        <v>8</v>
      </c>
      <c r="B295">
        <v>2644.3521910145701</v>
      </c>
      <c r="C295">
        <v>493838.07</v>
      </c>
      <c r="D295">
        <v>1.14158847090403</v>
      </c>
      <c r="E295">
        <v>14</v>
      </c>
      <c r="F295" t="s">
        <v>24</v>
      </c>
    </row>
    <row r="296" spans="1:6" x14ac:dyDescent="0.2">
      <c r="A296" t="s">
        <v>9</v>
      </c>
      <c r="B296">
        <v>2973.4069060781599</v>
      </c>
      <c r="C296">
        <v>701736.37</v>
      </c>
      <c r="D296">
        <v>2.4607023771285998</v>
      </c>
      <c r="E296">
        <v>14</v>
      </c>
      <c r="F296" t="s">
        <v>24</v>
      </c>
    </row>
    <row r="297" spans="1:6" x14ac:dyDescent="0.2">
      <c r="A297" t="s">
        <v>8</v>
      </c>
      <c r="B297">
        <v>3279.4364677368098</v>
      </c>
      <c r="C297">
        <v>1007739.44</v>
      </c>
      <c r="D297">
        <v>3.5403633451143901</v>
      </c>
      <c r="E297">
        <v>14</v>
      </c>
      <c r="F297" t="s">
        <v>24</v>
      </c>
    </row>
    <row r="298" spans="1:6" x14ac:dyDescent="0.2">
      <c r="A298" t="s">
        <v>6</v>
      </c>
      <c r="B298">
        <v>3608.4919223592501</v>
      </c>
      <c r="C298">
        <v>980909.47</v>
      </c>
      <c r="D298">
        <v>5.2800288613319397</v>
      </c>
      <c r="E298">
        <v>14</v>
      </c>
      <c r="F298" t="s">
        <v>24</v>
      </c>
    </row>
    <row r="299" spans="1:6" x14ac:dyDescent="0.2">
      <c r="A299" t="s">
        <v>10</v>
      </c>
      <c r="B299">
        <v>3913.5351568711199</v>
      </c>
      <c r="C299">
        <v>824980.37</v>
      </c>
      <c r="D299">
        <v>5.4879047031879402</v>
      </c>
      <c r="E299">
        <v>14</v>
      </c>
      <c r="F299" t="s">
        <v>24</v>
      </c>
    </row>
    <row r="300" spans="1:6" x14ac:dyDescent="0.2">
      <c r="A300" t="s">
        <v>9</v>
      </c>
      <c r="B300">
        <v>4258.5853701850201</v>
      </c>
      <c r="C300">
        <v>703319.07</v>
      </c>
      <c r="D300">
        <v>6.1206648703098301</v>
      </c>
      <c r="E300">
        <v>14</v>
      </c>
      <c r="F300" t="s">
        <v>24</v>
      </c>
    </row>
    <row r="301" spans="1:6" x14ac:dyDescent="0.2">
      <c r="A301" t="s">
        <v>11</v>
      </c>
      <c r="B301">
        <v>4564.6128257424298</v>
      </c>
      <c r="C301">
        <v>1409570.13</v>
      </c>
      <c r="D301">
        <v>6.6631430204391497</v>
      </c>
      <c r="E301">
        <v>14</v>
      </c>
      <c r="F301" t="s">
        <v>24</v>
      </c>
    </row>
    <row r="302" spans="1:6" x14ac:dyDescent="0.2">
      <c r="A302" t="s">
        <v>8</v>
      </c>
      <c r="B302">
        <v>4893.6680911050398</v>
      </c>
      <c r="C302">
        <v>1249923.01</v>
      </c>
      <c r="D302">
        <v>7.3504987692515096</v>
      </c>
      <c r="E302">
        <v>14</v>
      </c>
      <c r="F302" t="s">
        <v>24</v>
      </c>
    </row>
    <row r="303" spans="1:6" x14ac:dyDescent="0.2">
      <c r="A303" t="s">
        <v>9</v>
      </c>
      <c r="B303">
        <v>5199.6996740285604</v>
      </c>
      <c r="C303">
        <v>1326500.4099999999</v>
      </c>
      <c r="D303">
        <v>7.8029098864078499</v>
      </c>
      <c r="E303">
        <v>14</v>
      </c>
      <c r="F303" t="s">
        <v>24</v>
      </c>
    </row>
    <row r="304" spans="1:6" x14ac:dyDescent="0.2">
      <c r="A304" t="s">
        <v>10</v>
      </c>
      <c r="B304">
        <v>5544.7465678727203</v>
      </c>
      <c r="C304">
        <v>893110.98</v>
      </c>
      <c r="D304">
        <v>8.0699638203461994</v>
      </c>
      <c r="E304">
        <v>14</v>
      </c>
      <c r="F304" t="s">
        <v>24</v>
      </c>
    </row>
    <row r="305" spans="1:6" x14ac:dyDescent="0.2">
      <c r="A305" t="s">
        <v>8</v>
      </c>
      <c r="B305">
        <v>5873.8081422825499</v>
      </c>
      <c r="C305">
        <v>404295.63</v>
      </c>
      <c r="D305">
        <v>8.6993728454589796</v>
      </c>
      <c r="E305">
        <v>14</v>
      </c>
      <c r="F305" t="s">
        <v>24</v>
      </c>
    </row>
    <row r="306" spans="1:6" x14ac:dyDescent="0.2">
      <c r="A306" t="s">
        <v>10</v>
      </c>
      <c r="B306">
        <v>3505.4509681140798</v>
      </c>
      <c r="C306">
        <v>529866.11</v>
      </c>
      <c r="D306">
        <v>4.1683786526997899</v>
      </c>
      <c r="E306">
        <v>15</v>
      </c>
      <c r="F306" t="s">
        <v>25</v>
      </c>
    </row>
    <row r="307" spans="1:6" x14ac:dyDescent="0.2">
      <c r="A307" t="s">
        <v>8</v>
      </c>
      <c r="B307">
        <v>3850.4941952654699</v>
      </c>
      <c r="C307">
        <v>956760.6</v>
      </c>
      <c r="D307">
        <v>5.0405052121162397</v>
      </c>
      <c r="E307">
        <v>15</v>
      </c>
      <c r="F307" t="s">
        <v>25</v>
      </c>
    </row>
    <row r="308" spans="1:6" x14ac:dyDescent="0.2">
      <c r="A308" t="s">
        <v>10</v>
      </c>
      <c r="B308">
        <v>4179.5519130929097</v>
      </c>
      <c r="C308">
        <v>813048.3</v>
      </c>
      <c r="D308">
        <v>5.9669860358715097</v>
      </c>
      <c r="E308">
        <v>15</v>
      </c>
      <c r="F308" t="s">
        <v>25</v>
      </c>
    </row>
    <row r="309" spans="1:6" x14ac:dyDescent="0.2">
      <c r="A309" t="s">
        <v>6</v>
      </c>
      <c r="B309">
        <v>4524.6010865045801</v>
      </c>
      <c r="C309">
        <v>1150333.32</v>
      </c>
      <c r="D309">
        <v>6.5094394937833204</v>
      </c>
      <c r="E309">
        <v>15</v>
      </c>
      <c r="F309" t="s">
        <v>25</v>
      </c>
    </row>
    <row r="310" spans="1:6" x14ac:dyDescent="0.2">
      <c r="A310" t="s">
        <v>9</v>
      </c>
      <c r="B310">
        <v>4829.6443936352998</v>
      </c>
      <c r="C310">
        <v>692327.93</v>
      </c>
      <c r="D310">
        <v>6.78068572041194</v>
      </c>
      <c r="E310">
        <v>15</v>
      </c>
      <c r="F310" t="s">
        <v>25</v>
      </c>
    </row>
    <row r="311" spans="1:6" x14ac:dyDescent="0.2">
      <c r="A311" t="s">
        <v>11</v>
      </c>
      <c r="B311">
        <v>5135.6703574436797</v>
      </c>
      <c r="C311">
        <v>1341662.04</v>
      </c>
      <c r="D311">
        <v>7.3188331361293804</v>
      </c>
      <c r="E311">
        <v>15</v>
      </c>
      <c r="F311" t="s">
        <v>25</v>
      </c>
    </row>
    <row r="312" spans="1:6" x14ac:dyDescent="0.2">
      <c r="A312" t="s">
        <v>10</v>
      </c>
      <c r="B312">
        <v>5480.7256833480897</v>
      </c>
      <c r="C312">
        <v>234362.59</v>
      </c>
      <c r="D312">
        <v>7.6807436362584403</v>
      </c>
      <c r="E312">
        <v>15</v>
      </c>
      <c r="F312" t="s">
        <v>25</v>
      </c>
    </row>
    <row r="313" spans="1:6" x14ac:dyDescent="0.2">
      <c r="A313" t="s">
        <v>9</v>
      </c>
      <c r="B313">
        <v>4227.5807951645002</v>
      </c>
      <c r="C313">
        <v>136807.54</v>
      </c>
      <c r="D313">
        <v>6.8982393697579703</v>
      </c>
      <c r="E313">
        <v>16</v>
      </c>
      <c r="F313" t="s">
        <v>26</v>
      </c>
    </row>
    <row r="314" spans="1:6" x14ac:dyDescent="0.2">
      <c r="A314" t="s">
        <v>6</v>
      </c>
      <c r="B314">
        <v>4533.5976555727302</v>
      </c>
      <c r="C314">
        <v>69948.25</v>
      </c>
      <c r="D314">
        <v>7.6807436362584403</v>
      </c>
      <c r="E314">
        <v>16</v>
      </c>
      <c r="F314" t="s">
        <v>26</v>
      </c>
    </row>
    <row r="315" spans="1:6" x14ac:dyDescent="0.2">
      <c r="A315" t="s">
        <v>11</v>
      </c>
      <c r="B315">
        <v>4838.6527194593</v>
      </c>
      <c r="C315">
        <v>1315060.1599999999</v>
      </c>
      <c r="D315">
        <v>7.7124150033473997</v>
      </c>
      <c r="E315">
        <v>16</v>
      </c>
      <c r="F315" t="s">
        <v>26</v>
      </c>
    </row>
    <row r="316" spans="1:6" x14ac:dyDescent="0.2">
      <c r="A316" t="s">
        <v>9</v>
      </c>
      <c r="B316">
        <v>5144.6806366786404</v>
      </c>
      <c r="C316">
        <v>108309.31</v>
      </c>
      <c r="D316">
        <v>8.3733119284788806</v>
      </c>
      <c r="E316">
        <v>16</v>
      </c>
      <c r="F316" t="s">
        <v>26</v>
      </c>
    </row>
    <row r="317" spans="1:6" x14ac:dyDescent="0.2">
      <c r="A317" t="s">
        <v>9</v>
      </c>
      <c r="B317">
        <v>5450.7077760862603</v>
      </c>
      <c r="C317">
        <v>154796.85</v>
      </c>
      <c r="D317">
        <v>8.6993728454589796</v>
      </c>
      <c r="E317">
        <v>16</v>
      </c>
      <c r="F317" t="s">
        <v>26</v>
      </c>
    </row>
    <row r="318" spans="1:6" x14ac:dyDescent="0.2">
      <c r="A318" t="s">
        <v>6</v>
      </c>
      <c r="B318">
        <v>5755.7520015496002</v>
      </c>
      <c r="C318">
        <v>327212.19</v>
      </c>
      <c r="D318">
        <v>8.6087896442095406</v>
      </c>
      <c r="E318">
        <v>16</v>
      </c>
      <c r="F318" t="s">
        <v>26</v>
      </c>
    </row>
    <row r="319" spans="1:6" x14ac:dyDescent="0.2">
      <c r="A319" t="s">
        <v>8</v>
      </c>
      <c r="B319">
        <v>6084.8045581072201</v>
      </c>
      <c r="C319">
        <v>161632.07999999999</v>
      </c>
      <c r="D319">
        <v>9.2704182362238594</v>
      </c>
      <c r="E319">
        <v>16</v>
      </c>
      <c r="F319" t="s">
        <v>26</v>
      </c>
    </row>
    <row r="320" spans="1:6" x14ac:dyDescent="0.2">
      <c r="A320" t="s">
        <v>8</v>
      </c>
      <c r="B320">
        <v>6413.8608130408602</v>
      </c>
      <c r="C320">
        <v>173554.1</v>
      </c>
      <c r="D320">
        <v>9.4788820937951392</v>
      </c>
      <c r="E320">
        <v>16</v>
      </c>
      <c r="F320" t="s">
        <v>26</v>
      </c>
    </row>
    <row r="321" spans="1:6" x14ac:dyDescent="0.2">
      <c r="A321" t="s">
        <v>6</v>
      </c>
      <c r="B321">
        <v>6718.8916437145699</v>
      </c>
      <c r="C321">
        <v>251615.41</v>
      </c>
      <c r="D321">
        <v>9.7508374289353696</v>
      </c>
      <c r="E321">
        <v>16</v>
      </c>
      <c r="F321" t="s">
        <v>26</v>
      </c>
    </row>
    <row r="322" spans="1:6" x14ac:dyDescent="0.2">
      <c r="A322" t="s">
        <v>9</v>
      </c>
      <c r="B322">
        <v>7024.9223969773802</v>
      </c>
      <c r="C322">
        <v>358334.43</v>
      </c>
      <c r="D322">
        <v>9.9322059944947494</v>
      </c>
      <c r="E322">
        <v>16</v>
      </c>
      <c r="F322" t="s">
        <v>26</v>
      </c>
    </row>
    <row r="323" spans="1:6" x14ac:dyDescent="0.2">
      <c r="A323" t="s">
        <v>9</v>
      </c>
      <c r="B323">
        <v>2565.3232392395698</v>
      </c>
      <c r="C323">
        <v>1019310.31</v>
      </c>
      <c r="D323">
        <v>1.07834287838936</v>
      </c>
      <c r="E323">
        <v>17</v>
      </c>
      <c r="F323" t="s">
        <v>27</v>
      </c>
    </row>
    <row r="324" spans="1:6" x14ac:dyDescent="0.2">
      <c r="A324" t="s">
        <v>11</v>
      </c>
      <c r="B324">
        <v>2871.3506979732001</v>
      </c>
      <c r="C324">
        <v>1184021.57</v>
      </c>
      <c r="D324">
        <v>1.67917446252505</v>
      </c>
      <c r="E324">
        <v>17</v>
      </c>
      <c r="F324" t="s">
        <v>27</v>
      </c>
    </row>
    <row r="325" spans="1:6" x14ac:dyDescent="0.2">
      <c r="A325" t="s">
        <v>9</v>
      </c>
      <c r="B325">
        <v>3177.37854298618</v>
      </c>
      <c r="C325">
        <v>594000.84</v>
      </c>
      <c r="D325">
        <v>3.0299002126534802</v>
      </c>
      <c r="E325">
        <v>17</v>
      </c>
      <c r="F325" t="s">
        <v>27</v>
      </c>
    </row>
    <row r="326" spans="1:6" x14ac:dyDescent="0.2">
      <c r="A326" t="s">
        <v>10</v>
      </c>
      <c r="B326">
        <v>3522.4248756608899</v>
      </c>
      <c r="C326">
        <v>595666.87</v>
      </c>
      <c r="D326">
        <v>4.1412692184925097</v>
      </c>
      <c r="E326">
        <v>17</v>
      </c>
      <c r="F326" t="s">
        <v>27</v>
      </c>
    </row>
    <row r="327" spans="1:6" x14ac:dyDescent="0.2">
      <c r="A327" t="s">
        <v>6</v>
      </c>
      <c r="B327">
        <v>3827.4716480993702</v>
      </c>
      <c r="C327">
        <v>266038.81</v>
      </c>
      <c r="D327">
        <v>4.6790031865914701</v>
      </c>
      <c r="E327">
        <v>17</v>
      </c>
      <c r="F327" t="s">
        <v>27</v>
      </c>
    </row>
    <row r="328" spans="1:6" x14ac:dyDescent="0.2">
      <c r="A328" t="s">
        <v>9</v>
      </c>
      <c r="B328">
        <v>4133.4909651181097</v>
      </c>
      <c r="C328">
        <v>145779.32</v>
      </c>
      <c r="D328">
        <v>5.3704148029963203</v>
      </c>
      <c r="E328">
        <v>17</v>
      </c>
      <c r="F328" t="s">
        <v>27</v>
      </c>
    </row>
    <row r="329" spans="1:6" x14ac:dyDescent="0.2">
      <c r="A329" t="s">
        <v>9</v>
      </c>
      <c r="B329">
        <v>4439.5148292261701</v>
      </c>
      <c r="C329">
        <v>90128.34</v>
      </c>
      <c r="D329">
        <v>6.0031435604572296</v>
      </c>
      <c r="E329">
        <v>17</v>
      </c>
      <c r="F329" t="s">
        <v>27</v>
      </c>
    </row>
    <row r="330" spans="1:6" x14ac:dyDescent="0.2">
      <c r="A330" t="s">
        <v>8</v>
      </c>
      <c r="B330">
        <v>4768.573852683</v>
      </c>
      <c r="C330">
        <v>385979.75</v>
      </c>
      <c r="D330">
        <v>6.8078124936103803</v>
      </c>
      <c r="E330">
        <v>17</v>
      </c>
      <c r="F330" t="s">
        <v>27</v>
      </c>
    </row>
    <row r="331" spans="1:6" x14ac:dyDescent="0.2">
      <c r="A331" t="s">
        <v>8</v>
      </c>
      <c r="B331">
        <v>5097.6356751326603</v>
      </c>
      <c r="C331">
        <v>727960.78</v>
      </c>
      <c r="D331">
        <v>7.4997938370386796</v>
      </c>
      <c r="E331">
        <v>17</v>
      </c>
      <c r="F331" t="s">
        <v>27</v>
      </c>
    </row>
    <row r="332" spans="1:6" x14ac:dyDescent="0.2">
      <c r="A332" t="s">
        <v>6</v>
      </c>
      <c r="B332">
        <v>5402.6781614267202</v>
      </c>
      <c r="C332">
        <v>1127041.6100000001</v>
      </c>
      <c r="D332">
        <v>7.6807436362584403</v>
      </c>
      <c r="E332">
        <v>17</v>
      </c>
      <c r="F332" t="s">
        <v>27</v>
      </c>
    </row>
    <row r="333" spans="1:6" x14ac:dyDescent="0.2">
      <c r="A333" t="s">
        <v>8</v>
      </c>
      <c r="B333">
        <v>5731.7354256238596</v>
      </c>
      <c r="C333">
        <v>704271.41</v>
      </c>
      <c r="D333">
        <v>8.2510596112092305</v>
      </c>
      <c r="E333">
        <v>17</v>
      </c>
      <c r="F333" t="s">
        <v>27</v>
      </c>
    </row>
    <row r="334" spans="1:6" x14ac:dyDescent="0.2">
      <c r="A334" t="s">
        <v>10</v>
      </c>
      <c r="B334">
        <v>6076.7899926792397</v>
      </c>
      <c r="C334">
        <v>907254.63</v>
      </c>
      <c r="D334">
        <v>8.5499259765625002</v>
      </c>
      <c r="E334">
        <v>17</v>
      </c>
      <c r="F334" t="s">
        <v>27</v>
      </c>
    </row>
    <row r="335" spans="1:6" x14ac:dyDescent="0.2">
      <c r="A335" t="s">
        <v>9</v>
      </c>
      <c r="B335">
        <v>6382.8234446740598</v>
      </c>
      <c r="C335">
        <v>671508.6</v>
      </c>
      <c r="D335">
        <v>8.8171853279749506</v>
      </c>
      <c r="E335">
        <v>17</v>
      </c>
      <c r="F335" t="s">
        <v>27</v>
      </c>
    </row>
    <row r="336" spans="1:6" x14ac:dyDescent="0.2">
      <c r="A336" t="s">
        <v>8</v>
      </c>
      <c r="B336">
        <v>6711.8707343378501</v>
      </c>
      <c r="C336">
        <v>414793.87</v>
      </c>
      <c r="D336">
        <v>9.3610533849080397</v>
      </c>
      <c r="E336">
        <v>17</v>
      </c>
      <c r="F336" t="s">
        <v>27</v>
      </c>
    </row>
    <row r="337" spans="1:6" x14ac:dyDescent="0.2">
      <c r="A337" t="s">
        <v>6</v>
      </c>
      <c r="B337">
        <v>7016.9090389580997</v>
      </c>
      <c r="C337">
        <v>296968.43</v>
      </c>
      <c r="D337">
        <v>9.4516992524941799</v>
      </c>
      <c r="E337">
        <v>17</v>
      </c>
      <c r="F337" t="s">
        <v>27</v>
      </c>
    </row>
    <row r="338" spans="1:6" x14ac:dyDescent="0.2">
      <c r="A338" t="s">
        <v>8</v>
      </c>
      <c r="B338">
        <v>7345.9579490167498</v>
      </c>
      <c r="C338">
        <v>502991.32</v>
      </c>
      <c r="D338">
        <v>9.8097735281467404</v>
      </c>
      <c r="E338">
        <v>17</v>
      </c>
      <c r="F338" t="s">
        <v>27</v>
      </c>
    </row>
    <row r="339" spans="1:6" x14ac:dyDescent="0.2">
      <c r="A339" t="s">
        <v>9</v>
      </c>
      <c r="B339">
        <v>7651.9822571252298</v>
      </c>
      <c r="C339">
        <v>299904.88</v>
      </c>
      <c r="D339">
        <v>10.0228696461201</v>
      </c>
      <c r="E339">
        <v>17</v>
      </c>
      <c r="F339" t="s">
        <v>27</v>
      </c>
    </row>
    <row r="340" spans="1:6" x14ac:dyDescent="0.2">
      <c r="A340" t="s">
        <v>8</v>
      </c>
      <c r="B340">
        <v>7981.0304836156301</v>
      </c>
      <c r="C340">
        <v>318186.83</v>
      </c>
      <c r="D340">
        <v>10.4129120862166</v>
      </c>
      <c r="E340">
        <v>17</v>
      </c>
      <c r="F340" t="s">
        <v>27</v>
      </c>
    </row>
    <row r="341" spans="1:6" x14ac:dyDescent="0.2">
      <c r="A341" t="s">
        <v>10</v>
      </c>
      <c r="B341">
        <v>8326.0911222650993</v>
      </c>
      <c r="C341">
        <v>374278.7</v>
      </c>
      <c r="D341">
        <v>10.558054118919401</v>
      </c>
      <c r="E341">
        <v>17</v>
      </c>
      <c r="F341" t="s">
        <v>27</v>
      </c>
    </row>
    <row r="342" spans="1:6" x14ac:dyDescent="0.2">
      <c r="A342" t="s">
        <v>9</v>
      </c>
      <c r="B342">
        <v>8632.1149138593701</v>
      </c>
      <c r="C342">
        <v>287518.74</v>
      </c>
      <c r="D342">
        <v>10.712296018568701</v>
      </c>
      <c r="E342">
        <v>17</v>
      </c>
      <c r="F342" t="s">
        <v>27</v>
      </c>
    </row>
    <row r="343" spans="1:6" x14ac:dyDescent="0.2">
      <c r="A343" t="s">
        <v>8</v>
      </c>
      <c r="B343">
        <v>8961.1711791835605</v>
      </c>
      <c r="C343">
        <v>160360.44</v>
      </c>
      <c r="D343">
        <v>11.038978453048101</v>
      </c>
      <c r="E343">
        <v>17</v>
      </c>
      <c r="F343" t="s">
        <v>27</v>
      </c>
    </row>
    <row r="344" spans="1:6" x14ac:dyDescent="0.2">
      <c r="A344" t="s">
        <v>8</v>
      </c>
      <c r="B344">
        <v>9290.2228093761805</v>
      </c>
      <c r="C344">
        <v>124795.45</v>
      </c>
      <c r="D344">
        <v>11.3111668363889</v>
      </c>
      <c r="E344">
        <v>17</v>
      </c>
      <c r="F344" t="s">
        <v>27</v>
      </c>
    </row>
    <row r="345" spans="1:6" x14ac:dyDescent="0.2">
      <c r="A345" t="s">
        <v>6</v>
      </c>
      <c r="B345">
        <v>9595.2485869858501</v>
      </c>
      <c r="C345">
        <v>88529.12</v>
      </c>
      <c r="D345">
        <v>11.3111668363889</v>
      </c>
      <c r="E345">
        <v>17</v>
      </c>
      <c r="F345" t="s">
        <v>27</v>
      </c>
    </row>
    <row r="346" spans="1:6" x14ac:dyDescent="0.2">
      <c r="A346" t="s">
        <v>9</v>
      </c>
      <c r="B346">
        <v>9901.2823781975203</v>
      </c>
      <c r="C346">
        <v>121977.92</v>
      </c>
      <c r="D346">
        <v>11.370116702286399</v>
      </c>
      <c r="E346">
        <v>17</v>
      </c>
      <c r="F346" t="s">
        <v>27</v>
      </c>
    </row>
    <row r="347" spans="1:6" x14ac:dyDescent="0.2">
      <c r="A347" t="s">
        <v>9</v>
      </c>
      <c r="B347">
        <v>10207.293642840399</v>
      </c>
      <c r="C347">
        <v>40627.15</v>
      </c>
      <c r="D347">
        <v>11.637894735304499</v>
      </c>
      <c r="E347">
        <v>17</v>
      </c>
      <c r="F347" t="s">
        <v>27</v>
      </c>
    </row>
    <row r="348" spans="1:6" x14ac:dyDescent="0.2">
      <c r="A348" t="s">
        <v>9</v>
      </c>
      <c r="B348">
        <v>10513.3452060952</v>
      </c>
      <c r="C348">
        <v>58437.43</v>
      </c>
      <c r="D348">
        <v>11.6696680104415</v>
      </c>
      <c r="E348">
        <v>17</v>
      </c>
      <c r="F348" t="s">
        <v>27</v>
      </c>
    </row>
    <row r="349" spans="1:6" x14ac:dyDescent="0.2">
      <c r="A349" t="s">
        <v>6</v>
      </c>
      <c r="B349">
        <v>10818.375446259401</v>
      </c>
      <c r="C349">
        <v>51299.62</v>
      </c>
      <c r="D349">
        <v>11.6696680104415</v>
      </c>
      <c r="E349">
        <v>17</v>
      </c>
      <c r="F349" t="s">
        <v>27</v>
      </c>
    </row>
    <row r="350" spans="1:6" x14ac:dyDescent="0.2">
      <c r="A350" t="s">
        <v>6</v>
      </c>
      <c r="B350">
        <v>2017.2906398815201</v>
      </c>
      <c r="C350">
        <v>163812.76999999999</v>
      </c>
      <c r="D350">
        <v>0.96089091854095499</v>
      </c>
      <c r="E350">
        <v>18</v>
      </c>
      <c r="F350" t="s">
        <v>28</v>
      </c>
    </row>
    <row r="351" spans="1:6" x14ac:dyDescent="0.2">
      <c r="A351" t="s">
        <v>8</v>
      </c>
      <c r="B351">
        <v>2322.3300706620898</v>
      </c>
      <c r="C351">
        <v>401916.01</v>
      </c>
      <c r="D351">
        <v>1.0196155285517401</v>
      </c>
      <c r="E351">
        <v>18</v>
      </c>
      <c r="F351" t="s">
        <v>28</v>
      </c>
    </row>
    <row r="352" spans="1:6" x14ac:dyDescent="0.2">
      <c r="A352" t="s">
        <v>10</v>
      </c>
      <c r="B352">
        <v>2651.3866516427902</v>
      </c>
      <c r="C352">
        <v>725175.13</v>
      </c>
      <c r="D352">
        <v>1.64755338784854</v>
      </c>
      <c r="E352">
        <v>18</v>
      </c>
      <c r="F352" t="s">
        <v>28</v>
      </c>
    </row>
    <row r="353" spans="1:6" x14ac:dyDescent="0.2">
      <c r="A353" t="s">
        <v>6</v>
      </c>
      <c r="B353">
        <v>2996.4307754972201</v>
      </c>
      <c r="C353">
        <v>265388.28000000003</v>
      </c>
      <c r="D353">
        <v>3.2376956180413599</v>
      </c>
      <c r="E353">
        <v>18</v>
      </c>
      <c r="F353" t="s">
        <v>28</v>
      </c>
    </row>
    <row r="354" spans="1:6" x14ac:dyDescent="0.2">
      <c r="A354" t="s">
        <v>6</v>
      </c>
      <c r="B354">
        <v>3301.4743740112599</v>
      </c>
      <c r="C354">
        <v>179482.67</v>
      </c>
      <c r="D354">
        <v>3.8430762107849099</v>
      </c>
      <c r="E354">
        <v>18</v>
      </c>
      <c r="F354" t="s">
        <v>28</v>
      </c>
    </row>
    <row r="355" spans="1:6" x14ac:dyDescent="0.2">
      <c r="A355" t="s">
        <v>8</v>
      </c>
      <c r="B355">
        <v>3606.5460378042999</v>
      </c>
      <c r="C355">
        <v>24790.86</v>
      </c>
      <c r="D355">
        <v>6.8982393697579703</v>
      </c>
      <c r="E355">
        <v>18</v>
      </c>
      <c r="F355" t="s">
        <v>28</v>
      </c>
    </row>
    <row r="356" spans="1:6" x14ac:dyDescent="0.2">
      <c r="A356" t="s">
        <v>9</v>
      </c>
      <c r="B356">
        <v>3935.6023200270702</v>
      </c>
      <c r="C356">
        <v>18103.349999999999</v>
      </c>
      <c r="D356">
        <v>7.6807436362584403</v>
      </c>
      <c r="E356">
        <v>18</v>
      </c>
      <c r="F356" t="s">
        <v>28</v>
      </c>
    </row>
    <row r="357" spans="1:6" x14ac:dyDescent="0.2">
      <c r="A357" t="s">
        <v>10</v>
      </c>
      <c r="B357">
        <v>4241.5994363909404</v>
      </c>
      <c r="C357">
        <v>326032.24</v>
      </c>
      <c r="D357">
        <v>6.17943720377286</v>
      </c>
      <c r="E357">
        <v>18</v>
      </c>
      <c r="F357" t="s">
        <v>28</v>
      </c>
    </row>
    <row r="358" spans="1:6" x14ac:dyDescent="0.2">
      <c r="A358" t="s">
        <v>9</v>
      </c>
      <c r="B358">
        <v>4586.6493318026596</v>
      </c>
      <c r="C358">
        <v>261750.98</v>
      </c>
      <c r="D358">
        <v>6.6631430204391497</v>
      </c>
      <c r="E358">
        <v>18</v>
      </c>
      <c r="F358" t="s">
        <v>28</v>
      </c>
    </row>
    <row r="359" spans="1:6" x14ac:dyDescent="0.2">
      <c r="A359" t="s">
        <v>9</v>
      </c>
      <c r="B359">
        <v>4892.6736556735004</v>
      </c>
      <c r="C359">
        <v>946030.58</v>
      </c>
      <c r="D359">
        <v>7.5902651703039803</v>
      </c>
      <c r="E359">
        <v>18</v>
      </c>
      <c r="F359" t="s">
        <v>28</v>
      </c>
    </row>
    <row r="360" spans="1:6" x14ac:dyDescent="0.2">
      <c r="A360" t="s">
        <v>11</v>
      </c>
      <c r="B360">
        <v>5198.7047603108003</v>
      </c>
      <c r="C360">
        <v>1180785.74</v>
      </c>
      <c r="D360">
        <v>7.6490736877600298</v>
      </c>
      <c r="E360">
        <v>18</v>
      </c>
      <c r="F360" t="s">
        <v>28</v>
      </c>
    </row>
    <row r="361" spans="1:6" x14ac:dyDescent="0.2">
      <c r="A361" t="s">
        <v>6</v>
      </c>
      <c r="B361">
        <v>5503.7532935170802</v>
      </c>
      <c r="C361">
        <v>659320.43000000005</v>
      </c>
      <c r="D361">
        <v>7.8572145278930696</v>
      </c>
      <c r="E361">
        <v>18</v>
      </c>
      <c r="F361" t="s">
        <v>28</v>
      </c>
    </row>
    <row r="362" spans="1:6" x14ac:dyDescent="0.2">
      <c r="A362" t="s">
        <v>6</v>
      </c>
      <c r="B362">
        <v>5808.7950202851298</v>
      </c>
      <c r="C362">
        <v>223889.77</v>
      </c>
      <c r="D362">
        <v>8.0111072178363791</v>
      </c>
      <c r="E362">
        <v>18</v>
      </c>
      <c r="F362" t="s">
        <v>28</v>
      </c>
    </row>
    <row r="363" spans="1:6" x14ac:dyDescent="0.2">
      <c r="A363" t="s">
        <v>10</v>
      </c>
      <c r="B363">
        <v>6153.8782135407801</v>
      </c>
      <c r="C363">
        <v>56807.3</v>
      </c>
      <c r="D363">
        <v>9.5423348780155202</v>
      </c>
      <c r="E363">
        <v>18</v>
      </c>
      <c r="F363" t="s">
        <v>28</v>
      </c>
    </row>
    <row r="364" spans="1:6" x14ac:dyDescent="0.2">
      <c r="A364" t="s">
        <v>6</v>
      </c>
      <c r="B364">
        <v>6458.8916912588902</v>
      </c>
      <c r="C364">
        <v>292340.88</v>
      </c>
      <c r="D364">
        <v>9.9322059944947494</v>
      </c>
      <c r="E364">
        <v>18</v>
      </c>
      <c r="F364" t="s">
        <v>28</v>
      </c>
    </row>
    <row r="365" spans="1:6" x14ac:dyDescent="0.2">
      <c r="A365" t="s">
        <v>6</v>
      </c>
      <c r="B365">
        <v>6763.9152995125996</v>
      </c>
      <c r="C365">
        <v>192273.85</v>
      </c>
      <c r="D365">
        <v>8.8806360796769503</v>
      </c>
      <c r="E365">
        <v>18</v>
      </c>
      <c r="F365" t="s">
        <v>28</v>
      </c>
    </row>
    <row r="366" spans="1:6" x14ac:dyDescent="0.2">
      <c r="A366" t="s">
        <v>6</v>
      </c>
      <c r="B366">
        <v>3231.4508166988599</v>
      </c>
      <c r="C366">
        <v>868482.87</v>
      </c>
      <c r="D366">
        <v>5.4607942457675902</v>
      </c>
      <c r="E366">
        <v>19</v>
      </c>
      <c r="F366" t="s">
        <v>29</v>
      </c>
    </row>
    <row r="367" spans="1:6" x14ac:dyDescent="0.2">
      <c r="A367" t="s">
        <v>8</v>
      </c>
      <c r="B367">
        <v>3536.48630981519</v>
      </c>
      <c r="C367">
        <v>599452.47</v>
      </c>
      <c r="D367">
        <v>5.5511773522377004</v>
      </c>
      <c r="E367">
        <v>19</v>
      </c>
      <c r="F367" t="s">
        <v>29</v>
      </c>
    </row>
    <row r="368" spans="1:6" x14ac:dyDescent="0.2">
      <c r="A368" t="s">
        <v>10</v>
      </c>
      <c r="B368">
        <v>3865.52629896899</v>
      </c>
      <c r="C368">
        <v>927252.91</v>
      </c>
      <c r="D368">
        <v>6.32862172878583</v>
      </c>
      <c r="E368">
        <v>19</v>
      </c>
      <c r="F368" t="s">
        <v>29</v>
      </c>
    </row>
    <row r="369" spans="1:6" x14ac:dyDescent="0.2">
      <c r="A369" t="s">
        <v>9</v>
      </c>
      <c r="B369">
        <v>4210.5971339614798</v>
      </c>
      <c r="C369">
        <v>841337.08</v>
      </c>
      <c r="D369">
        <v>6.96154171980222</v>
      </c>
      <c r="E369">
        <v>19</v>
      </c>
      <c r="F369" t="s">
        <v>29</v>
      </c>
    </row>
    <row r="370" spans="1:6" x14ac:dyDescent="0.2">
      <c r="A370" t="s">
        <v>6</v>
      </c>
      <c r="B370">
        <v>4516.5873036604198</v>
      </c>
      <c r="C370">
        <v>213708.93</v>
      </c>
      <c r="D370">
        <v>5.8494748866240203</v>
      </c>
      <c r="E370">
        <v>19</v>
      </c>
      <c r="F370" t="s">
        <v>29</v>
      </c>
    </row>
    <row r="371" spans="1:6" x14ac:dyDescent="0.2">
      <c r="A371" t="s">
        <v>11</v>
      </c>
      <c r="B371">
        <v>4821.6408778593805</v>
      </c>
      <c r="C371">
        <v>1176121.97</v>
      </c>
      <c r="D371">
        <v>7.6490736877600298</v>
      </c>
      <c r="E371">
        <v>19</v>
      </c>
      <c r="F371" t="s">
        <v>29</v>
      </c>
    </row>
    <row r="372" spans="1:6" x14ac:dyDescent="0.2">
      <c r="A372" t="s">
        <v>8</v>
      </c>
      <c r="B372">
        <v>5150.7096489961796</v>
      </c>
      <c r="C372">
        <v>295362.15000000002</v>
      </c>
      <c r="D372">
        <v>8.3099201039155304</v>
      </c>
      <c r="E372">
        <v>19</v>
      </c>
      <c r="F372" t="s">
        <v>29</v>
      </c>
    </row>
    <row r="373" spans="1:6" x14ac:dyDescent="0.2">
      <c r="A373" t="s">
        <v>9</v>
      </c>
      <c r="B373">
        <v>2605.3306110469798</v>
      </c>
      <c r="C373">
        <v>926822.3</v>
      </c>
      <c r="D373">
        <v>1.14158847090403</v>
      </c>
      <c r="E373">
        <v>20</v>
      </c>
      <c r="F373" t="s">
        <v>30</v>
      </c>
    </row>
    <row r="374" spans="1:6" x14ac:dyDescent="0.2">
      <c r="A374" t="s">
        <v>10</v>
      </c>
      <c r="B374">
        <v>2911.3638970557199</v>
      </c>
      <c r="C374">
        <v>448421.12</v>
      </c>
      <c r="D374">
        <v>1.8915003275553399</v>
      </c>
      <c r="E374">
        <v>20</v>
      </c>
      <c r="F374" t="s">
        <v>30</v>
      </c>
    </row>
    <row r="375" spans="1:6" x14ac:dyDescent="0.2">
      <c r="A375" t="s">
        <v>6</v>
      </c>
      <c r="B375">
        <v>3256.4168878250398</v>
      </c>
      <c r="C375">
        <v>368616.64</v>
      </c>
      <c r="D375">
        <v>3.0570046281496701</v>
      </c>
      <c r="E375">
        <v>20</v>
      </c>
      <c r="F375" t="s">
        <v>30</v>
      </c>
    </row>
    <row r="376" spans="1:6" x14ac:dyDescent="0.2">
      <c r="A376" t="s">
        <v>10</v>
      </c>
      <c r="B376">
        <v>3561.4518280478601</v>
      </c>
      <c r="C376">
        <v>389332.37</v>
      </c>
      <c r="D376">
        <v>4.2316353773752802</v>
      </c>
      <c r="E376">
        <v>20</v>
      </c>
      <c r="F376" t="s">
        <v>30</v>
      </c>
    </row>
    <row r="377" spans="1:6" x14ac:dyDescent="0.2">
      <c r="A377" t="s">
        <v>8</v>
      </c>
      <c r="B377">
        <v>3906.4960887422899</v>
      </c>
      <c r="C377">
        <v>258057.65</v>
      </c>
      <c r="D377">
        <v>4.8913853780110701</v>
      </c>
      <c r="E377">
        <v>20</v>
      </c>
      <c r="F377" t="s">
        <v>30</v>
      </c>
    </row>
    <row r="378" spans="1:6" x14ac:dyDescent="0.2">
      <c r="A378" t="s">
        <v>9</v>
      </c>
      <c r="B378">
        <v>4235.5539903030403</v>
      </c>
      <c r="C378">
        <v>613954.79</v>
      </c>
      <c r="D378">
        <v>5.8811136698405004</v>
      </c>
      <c r="E378">
        <v>20</v>
      </c>
      <c r="F378" t="s">
        <v>30</v>
      </c>
    </row>
    <row r="379" spans="1:6" x14ac:dyDescent="0.2">
      <c r="A379" t="s">
        <v>8</v>
      </c>
      <c r="B379">
        <v>4541.5837090656796</v>
      </c>
      <c r="C379">
        <v>631873.21</v>
      </c>
      <c r="D379">
        <v>6.3919035450299599</v>
      </c>
      <c r="E379">
        <v>20</v>
      </c>
      <c r="F379" t="s">
        <v>30</v>
      </c>
    </row>
    <row r="380" spans="1:6" x14ac:dyDescent="0.2">
      <c r="A380" t="s">
        <v>11</v>
      </c>
      <c r="B380">
        <v>4870.6352316004204</v>
      </c>
      <c r="C380">
        <v>1117392.5</v>
      </c>
      <c r="D380">
        <v>7.1695676362196599</v>
      </c>
      <c r="E380">
        <v>20</v>
      </c>
      <c r="F380" t="s">
        <v>30</v>
      </c>
    </row>
    <row r="381" spans="1:6" x14ac:dyDescent="0.2">
      <c r="A381" t="s">
        <v>8</v>
      </c>
      <c r="B381">
        <v>6115.8173202017997</v>
      </c>
      <c r="C381">
        <v>406114</v>
      </c>
      <c r="D381">
        <v>8.5499259765625002</v>
      </c>
      <c r="E381">
        <v>21</v>
      </c>
      <c r="F381" t="s">
        <v>31</v>
      </c>
    </row>
    <row r="382" spans="1:6" x14ac:dyDescent="0.2">
      <c r="A382" t="s">
        <v>11</v>
      </c>
      <c r="B382">
        <v>6444.8672969675599</v>
      </c>
      <c r="C382">
        <v>1069060.77</v>
      </c>
      <c r="D382">
        <v>8.9984834865411099</v>
      </c>
      <c r="E382">
        <v>21</v>
      </c>
      <c r="F382" t="s">
        <v>31</v>
      </c>
    </row>
    <row r="383" spans="1:6" x14ac:dyDescent="0.2">
      <c r="A383" t="s">
        <v>10</v>
      </c>
      <c r="B383">
        <v>6789.9180354314203</v>
      </c>
      <c r="C383">
        <v>293710.98</v>
      </c>
      <c r="D383">
        <v>9.1797867949485799</v>
      </c>
      <c r="E383">
        <v>21</v>
      </c>
      <c r="F383" t="s">
        <v>31</v>
      </c>
    </row>
    <row r="384" spans="1:6" x14ac:dyDescent="0.2">
      <c r="A384" t="s">
        <v>9</v>
      </c>
      <c r="B384">
        <v>7095.9478952835998</v>
      </c>
      <c r="C384">
        <v>294841.46999999997</v>
      </c>
      <c r="D384">
        <v>9.4788820937951392</v>
      </c>
      <c r="E384">
        <v>21</v>
      </c>
      <c r="F384" t="s">
        <v>31</v>
      </c>
    </row>
    <row r="385" spans="1:6" x14ac:dyDescent="0.2">
      <c r="A385" t="s">
        <v>10</v>
      </c>
      <c r="B385">
        <v>7440.97481445633</v>
      </c>
      <c r="C385">
        <v>181710.56</v>
      </c>
      <c r="D385">
        <v>9.7190961773872395</v>
      </c>
      <c r="E385">
        <v>21</v>
      </c>
      <c r="F385" t="s">
        <v>31</v>
      </c>
    </row>
    <row r="386" spans="1:6" x14ac:dyDescent="0.2">
      <c r="A386" t="s">
        <v>8</v>
      </c>
      <c r="B386">
        <v>7770.0365354190799</v>
      </c>
      <c r="C386">
        <v>261623.66</v>
      </c>
      <c r="D386">
        <v>10.0772891537031</v>
      </c>
      <c r="E386">
        <v>21</v>
      </c>
      <c r="F386" t="s">
        <v>31</v>
      </c>
    </row>
    <row r="387" spans="1:6" x14ac:dyDescent="0.2">
      <c r="A387" t="s">
        <v>6</v>
      </c>
      <c r="B387">
        <v>8075.0709257500203</v>
      </c>
      <c r="C387">
        <v>191305.3</v>
      </c>
      <c r="D387">
        <v>10.231469952631</v>
      </c>
      <c r="E387">
        <v>21</v>
      </c>
      <c r="F387" t="s">
        <v>31</v>
      </c>
    </row>
    <row r="388" spans="1:6" x14ac:dyDescent="0.2">
      <c r="A388" t="s">
        <v>6</v>
      </c>
      <c r="B388">
        <v>8380.0959896132208</v>
      </c>
      <c r="C388">
        <v>152740.19</v>
      </c>
      <c r="D388">
        <v>10.258681902853599</v>
      </c>
      <c r="E388">
        <v>21</v>
      </c>
      <c r="F388" t="s">
        <v>31</v>
      </c>
    </row>
    <row r="389" spans="1:6" x14ac:dyDescent="0.2">
      <c r="A389" t="s">
        <v>9</v>
      </c>
      <c r="B389">
        <v>8686.1465779093796</v>
      </c>
      <c r="C389">
        <v>94518.399999999994</v>
      </c>
      <c r="D389">
        <v>10.4129120862166</v>
      </c>
      <c r="E389">
        <v>21</v>
      </c>
      <c r="F389" t="s">
        <v>31</v>
      </c>
    </row>
    <row r="390" spans="1:6" x14ac:dyDescent="0.2">
      <c r="A390" t="s">
        <v>8</v>
      </c>
      <c r="B390">
        <v>9015.1791792561307</v>
      </c>
      <c r="C390">
        <v>99642.62</v>
      </c>
      <c r="D390">
        <v>10.7395170028687</v>
      </c>
      <c r="E390">
        <v>21</v>
      </c>
      <c r="F390" t="s">
        <v>31</v>
      </c>
    </row>
    <row r="391" spans="1:6" x14ac:dyDescent="0.2">
      <c r="A391" t="s">
        <v>8</v>
      </c>
      <c r="B391">
        <v>9344.2453535760797</v>
      </c>
      <c r="C391">
        <v>73413.95</v>
      </c>
      <c r="D391">
        <v>11.1024970030467</v>
      </c>
      <c r="E391">
        <v>21</v>
      </c>
      <c r="F391" t="s">
        <v>31</v>
      </c>
    </row>
    <row r="392" spans="1:6" x14ac:dyDescent="0.2">
      <c r="A392" t="s">
        <v>6</v>
      </c>
      <c r="B392">
        <v>9649.2578702214705</v>
      </c>
      <c r="C392">
        <v>42121.08</v>
      </c>
      <c r="D392">
        <v>11.220441811847699</v>
      </c>
      <c r="E392">
        <v>21</v>
      </c>
      <c r="F392" t="s">
        <v>31</v>
      </c>
    </row>
    <row r="393" spans="1:6" x14ac:dyDescent="0.2">
      <c r="A393" t="s">
        <v>8</v>
      </c>
      <c r="B393">
        <v>9978.3297405959893</v>
      </c>
      <c r="C393">
        <v>75542.570000000007</v>
      </c>
      <c r="D393">
        <v>11.4291141863346</v>
      </c>
      <c r="E393">
        <v>21</v>
      </c>
      <c r="F393" t="s">
        <v>31</v>
      </c>
    </row>
    <row r="394" spans="1:6" x14ac:dyDescent="0.2">
      <c r="A394" t="s">
        <v>10</v>
      </c>
      <c r="B394">
        <v>10323.3515459266</v>
      </c>
      <c r="C394">
        <v>49413.67</v>
      </c>
      <c r="D394">
        <v>11.492626493740101</v>
      </c>
      <c r="E394">
        <v>21</v>
      </c>
      <c r="F394" t="s">
        <v>31</v>
      </c>
    </row>
    <row r="395" spans="1:6" x14ac:dyDescent="0.2">
      <c r="A395" t="s">
        <v>8</v>
      </c>
      <c r="B395">
        <v>10652.388649923099</v>
      </c>
      <c r="C395">
        <v>123550.33</v>
      </c>
      <c r="D395">
        <v>11.819539492893201</v>
      </c>
      <c r="E395">
        <v>21</v>
      </c>
      <c r="F395" t="s">
        <v>31</v>
      </c>
    </row>
    <row r="396" spans="1:6" x14ac:dyDescent="0.2">
      <c r="A396" t="s">
        <v>9</v>
      </c>
      <c r="B396">
        <v>10958.436693842799</v>
      </c>
      <c r="C396">
        <v>77914.289999999994</v>
      </c>
      <c r="D396">
        <v>11.910358811982499</v>
      </c>
      <c r="E396">
        <v>21</v>
      </c>
      <c r="F396" t="s">
        <v>31</v>
      </c>
    </row>
    <row r="397" spans="1:6" x14ac:dyDescent="0.2">
      <c r="A397" t="s">
        <v>9</v>
      </c>
      <c r="B397">
        <v>2024.3168617712299</v>
      </c>
      <c r="C397">
        <v>195438.17</v>
      </c>
      <c r="D397">
        <v>1.2003145213604001</v>
      </c>
      <c r="E397">
        <v>22</v>
      </c>
      <c r="F397" t="s">
        <v>32</v>
      </c>
    </row>
    <row r="398" spans="1:6" x14ac:dyDescent="0.2">
      <c r="A398" t="s">
        <v>8</v>
      </c>
      <c r="B398">
        <v>2330.35102735092</v>
      </c>
      <c r="C398">
        <v>149578.28</v>
      </c>
      <c r="D398">
        <v>2.0089579200426702</v>
      </c>
      <c r="E398">
        <v>22</v>
      </c>
      <c r="F398" t="s">
        <v>32</v>
      </c>
    </row>
    <row r="399" spans="1:6" x14ac:dyDescent="0.2">
      <c r="A399" t="s">
        <v>6</v>
      </c>
      <c r="B399">
        <v>2659.3985182595302</v>
      </c>
      <c r="C399">
        <v>212566.82</v>
      </c>
      <c r="D399">
        <v>3.72108413534164</v>
      </c>
      <c r="E399">
        <v>22</v>
      </c>
      <c r="F399" t="s">
        <v>32</v>
      </c>
    </row>
    <row r="400" spans="1:6" x14ac:dyDescent="0.2">
      <c r="A400" t="s">
        <v>10</v>
      </c>
      <c r="B400">
        <v>2964.4405344647598</v>
      </c>
      <c r="C400">
        <v>489805.73</v>
      </c>
      <c r="D400">
        <v>4.5569924191315998</v>
      </c>
      <c r="E400">
        <v>22</v>
      </c>
      <c r="F400" t="s">
        <v>32</v>
      </c>
    </row>
    <row r="401" spans="1:9" x14ac:dyDescent="0.2">
      <c r="A401" t="s">
        <v>9</v>
      </c>
      <c r="B401">
        <v>3309.4937248610299</v>
      </c>
      <c r="C401">
        <v>362058.41</v>
      </c>
      <c r="D401">
        <v>5.33877888676325</v>
      </c>
      <c r="E401">
        <v>22</v>
      </c>
      <c r="F401" t="s">
        <v>32</v>
      </c>
    </row>
    <row r="402" spans="1:9" x14ac:dyDescent="0.2">
      <c r="A402" t="s">
        <v>8</v>
      </c>
      <c r="B402">
        <v>3615.5198029456401</v>
      </c>
      <c r="C402">
        <v>632895.06999999995</v>
      </c>
      <c r="D402">
        <v>6.0031435604572296</v>
      </c>
      <c r="E402">
        <v>22</v>
      </c>
      <c r="F402" t="s">
        <v>32</v>
      </c>
    </row>
    <row r="403" spans="1:9" x14ac:dyDescent="0.2">
      <c r="A403" t="s">
        <v>9</v>
      </c>
      <c r="B403">
        <v>3944.5744268288599</v>
      </c>
      <c r="C403">
        <v>74679.91</v>
      </c>
      <c r="D403">
        <v>6.8711072182337398</v>
      </c>
      <c r="E403">
        <v>22</v>
      </c>
      <c r="F403" t="s">
        <v>32</v>
      </c>
    </row>
    <row r="404" spans="1:9" x14ac:dyDescent="0.2">
      <c r="A404" t="s">
        <v>6</v>
      </c>
      <c r="B404">
        <v>4250.6076157240004</v>
      </c>
      <c r="C404">
        <v>322762.93</v>
      </c>
      <c r="D404">
        <v>7.3188331361293804</v>
      </c>
      <c r="E404">
        <v>22</v>
      </c>
      <c r="F404" t="s">
        <v>32</v>
      </c>
    </row>
    <row r="405" spans="1:9" x14ac:dyDescent="0.2">
      <c r="A405" t="s">
        <v>9</v>
      </c>
      <c r="B405">
        <v>4555.6494591614101</v>
      </c>
      <c r="C405">
        <v>717084.72</v>
      </c>
      <c r="D405">
        <v>7.4681177532355001</v>
      </c>
      <c r="E405">
        <v>22</v>
      </c>
      <c r="F405" t="s">
        <v>32</v>
      </c>
    </row>
    <row r="406" spans="1:9" x14ac:dyDescent="0.2">
      <c r="A406" t="s">
        <v>11</v>
      </c>
      <c r="B406">
        <v>4861.6766506090798</v>
      </c>
      <c r="C406">
        <v>1065505.3999999999</v>
      </c>
      <c r="D406">
        <v>7.7395614460786204</v>
      </c>
      <c r="E406">
        <v>22</v>
      </c>
      <c r="F406" t="s">
        <v>32</v>
      </c>
    </row>
    <row r="407" spans="1:9" x14ac:dyDescent="0.2">
      <c r="A407" t="s">
        <v>10</v>
      </c>
      <c r="B407">
        <v>5206.7292975243299</v>
      </c>
      <c r="C407">
        <v>582546.82999999996</v>
      </c>
      <c r="D407">
        <v>8.1288176512400305</v>
      </c>
      <c r="E407">
        <v>22</v>
      </c>
      <c r="F407" t="s">
        <v>32</v>
      </c>
    </row>
    <row r="408" spans="1:9" x14ac:dyDescent="0.2">
      <c r="A408" t="s">
        <v>8</v>
      </c>
      <c r="B408">
        <v>5535.7930815232303</v>
      </c>
      <c r="C408">
        <v>143706.10999999999</v>
      </c>
      <c r="D408">
        <v>8.9078380798975605</v>
      </c>
      <c r="E408">
        <v>22</v>
      </c>
      <c r="F408" t="s">
        <v>32</v>
      </c>
    </row>
    <row r="409" spans="1:9" x14ac:dyDescent="0.2">
      <c r="A409" t="s">
        <v>10</v>
      </c>
      <c r="B409">
        <v>5880.8218912921802</v>
      </c>
      <c r="C409">
        <v>238544.81</v>
      </c>
      <c r="D409">
        <v>9.2976035789330798</v>
      </c>
      <c r="E409">
        <v>22</v>
      </c>
      <c r="F409" t="s">
        <v>32</v>
      </c>
    </row>
    <row r="410" spans="1:9" x14ac:dyDescent="0.2">
      <c r="A410" t="s">
        <v>10</v>
      </c>
      <c r="B410">
        <v>6225.8885041942603</v>
      </c>
      <c r="C410">
        <v>84007</v>
      </c>
      <c r="D410">
        <v>9.3293358858108508</v>
      </c>
      <c r="E410">
        <v>22</v>
      </c>
      <c r="F410" t="s">
        <v>32</v>
      </c>
    </row>
    <row r="411" spans="1:9" x14ac:dyDescent="0.2">
      <c r="A411" s="2" t="s">
        <v>9</v>
      </c>
      <c r="B411" s="2">
        <v>1548.1366294306899</v>
      </c>
      <c r="C411" s="2">
        <v>217691.34</v>
      </c>
      <c r="D411" s="2">
        <v>0.71697871840794902</v>
      </c>
      <c r="E411" s="2">
        <v>23</v>
      </c>
      <c r="F411" s="2" t="s">
        <v>33</v>
      </c>
      <c r="G411" t="s">
        <v>237</v>
      </c>
      <c r="H411">
        <f>B411/306</f>
        <v>5.0592700308192482</v>
      </c>
      <c r="I411">
        <f>AVERAGE(C411:C426)</f>
        <v>365725.25937499997</v>
      </c>
    </row>
    <row r="412" spans="1:9" x14ac:dyDescent="0.2">
      <c r="A412" s="2" t="s">
        <v>9</v>
      </c>
      <c r="B412" s="2">
        <v>1854.1623537651701</v>
      </c>
      <c r="C412" s="2">
        <v>815919.57</v>
      </c>
      <c r="D412" s="2">
        <v>0.78020909385681203</v>
      </c>
      <c r="E412" s="2">
        <v>23</v>
      </c>
      <c r="F412" s="2" t="s">
        <v>33</v>
      </c>
      <c r="I412">
        <f>I411/34288.39</f>
        <v>10.666154327310206</v>
      </c>
    </row>
    <row r="413" spans="1:9" x14ac:dyDescent="0.2">
      <c r="A413" s="2" t="s">
        <v>9</v>
      </c>
      <c r="B413" s="2">
        <v>2160.1889347633701</v>
      </c>
      <c r="C413" s="2">
        <v>808492.96</v>
      </c>
      <c r="D413" s="2">
        <v>0.89764954404830899</v>
      </c>
      <c r="E413" s="2">
        <v>23</v>
      </c>
      <c r="F413" s="2" t="s">
        <v>33</v>
      </c>
    </row>
    <row r="414" spans="1:9" x14ac:dyDescent="0.2">
      <c r="A414" s="2" t="s">
        <v>11</v>
      </c>
      <c r="B414" s="2">
        <v>2466.2147468978601</v>
      </c>
      <c r="C414" s="2">
        <v>1043318.72</v>
      </c>
      <c r="D414" s="2">
        <v>0.98799588637351998</v>
      </c>
      <c r="E414" s="2">
        <v>23</v>
      </c>
      <c r="F414" s="2" t="s">
        <v>33</v>
      </c>
    </row>
    <row r="415" spans="1:9" x14ac:dyDescent="0.2">
      <c r="A415" s="2" t="s">
        <v>9</v>
      </c>
      <c r="B415" s="2">
        <v>2772.2399762836599</v>
      </c>
      <c r="C415" s="2">
        <v>608194.57999999996</v>
      </c>
      <c r="D415" s="2">
        <v>1.259041370519</v>
      </c>
      <c r="E415" s="2">
        <v>23</v>
      </c>
      <c r="F415" s="2" t="s">
        <v>33</v>
      </c>
    </row>
    <row r="416" spans="1:9" x14ac:dyDescent="0.2">
      <c r="A416" s="2" t="s">
        <v>9</v>
      </c>
      <c r="B416" s="2">
        <v>3078.2661888877801</v>
      </c>
      <c r="C416" s="2">
        <v>702426.53</v>
      </c>
      <c r="D416" s="2">
        <v>2.2800053115367902</v>
      </c>
      <c r="E416" s="2">
        <v>23</v>
      </c>
      <c r="F416" s="2" t="s">
        <v>33</v>
      </c>
    </row>
    <row r="417" spans="1:7" x14ac:dyDescent="0.2">
      <c r="A417" s="2" t="s">
        <v>9</v>
      </c>
      <c r="B417" s="2">
        <v>3384.2910119191001</v>
      </c>
      <c r="C417" s="2">
        <v>417818.64</v>
      </c>
      <c r="D417" s="2">
        <v>3.5719884033680001</v>
      </c>
      <c r="E417" s="2">
        <v>23</v>
      </c>
      <c r="F417" s="2" t="s">
        <v>33</v>
      </c>
    </row>
    <row r="418" spans="1:7" x14ac:dyDescent="0.2">
      <c r="A418" s="2" t="s">
        <v>9</v>
      </c>
      <c r="B418" s="2">
        <v>3690.3161461784598</v>
      </c>
      <c r="C418" s="2">
        <v>429614.68</v>
      </c>
      <c r="D418" s="2">
        <v>4.4394991870403304</v>
      </c>
      <c r="E418" s="2">
        <v>23</v>
      </c>
      <c r="F418" s="2" t="s">
        <v>33</v>
      </c>
    </row>
    <row r="419" spans="1:7" x14ac:dyDescent="0.2">
      <c r="A419" s="2" t="s">
        <v>9</v>
      </c>
      <c r="B419" s="2">
        <v>3996.34313883912</v>
      </c>
      <c r="C419" s="2">
        <v>209284.7</v>
      </c>
      <c r="D419" s="2">
        <v>5.1308935439268701</v>
      </c>
      <c r="E419" s="2">
        <v>23</v>
      </c>
      <c r="F419" s="2" t="s">
        <v>33</v>
      </c>
    </row>
    <row r="420" spans="1:7" x14ac:dyDescent="0.2">
      <c r="A420" s="2" t="s">
        <v>9</v>
      </c>
      <c r="B420" s="2">
        <v>4302.36698301053</v>
      </c>
      <c r="C420" s="2">
        <v>237625.1</v>
      </c>
      <c r="D420" s="2">
        <v>5.7319597537994396</v>
      </c>
      <c r="E420" s="2">
        <v>23</v>
      </c>
      <c r="F420" s="2" t="s">
        <v>33</v>
      </c>
    </row>
    <row r="421" spans="1:7" x14ac:dyDescent="0.2">
      <c r="A421" s="2" t="s">
        <v>9</v>
      </c>
      <c r="B421" s="2">
        <v>4608.3915053786304</v>
      </c>
      <c r="C421" s="2">
        <v>145952.07999999999</v>
      </c>
      <c r="D421" s="2">
        <v>6.2110808606624603</v>
      </c>
      <c r="E421" s="2">
        <v>23</v>
      </c>
      <c r="F421" s="2" t="s">
        <v>33</v>
      </c>
    </row>
    <row r="422" spans="1:7" x14ac:dyDescent="0.2">
      <c r="A422" s="2" t="s">
        <v>9</v>
      </c>
      <c r="B422" s="2">
        <v>4914.4193078820499</v>
      </c>
      <c r="C422" s="2">
        <v>121810.47</v>
      </c>
      <c r="D422" s="2">
        <v>6.6631430204391497</v>
      </c>
      <c r="E422" s="2">
        <v>23</v>
      </c>
      <c r="F422" s="2" t="s">
        <v>33</v>
      </c>
    </row>
    <row r="423" spans="1:7" x14ac:dyDescent="0.2">
      <c r="A423" s="2" t="s">
        <v>9</v>
      </c>
      <c r="B423" s="2">
        <v>5220.4447391635103</v>
      </c>
      <c r="C423" s="2">
        <v>39096.21</v>
      </c>
      <c r="D423" s="2">
        <v>7.0519884542306297</v>
      </c>
      <c r="E423" s="2">
        <v>23</v>
      </c>
      <c r="F423" s="2" t="s">
        <v>33</v>
      </c>
    </row>
    <row r="424" spans="1:7" x14ac:dyDescent="0.2">
      <c r="A424" s="2" t="s">
        <v>9</v>
      </c>
      <c r="B424" s="2">
        <v>5526.4787545427698</v>
      </c>
      <c r="C424" s="2">
        <v>24868.32</v>
      </c>
      <c r="D424" s="2">
        <v>7.3776465530872297</v>
      </c>
      <c r="E424" s="2">
        <v>23</v>
      </c>
      <c r="F424" s="2" t="s">
        <v>33</v>
      </c>
    </row>
    <row r="425" spans="1:7" x14ac:dyDescent="0.2">
      <c r="A425" s="2" t="s">
        <v>9</v>
      </c>
      <c r="B425" s="2">
        <v>5832.5102345669402</v>
      </c>
      <c r="C425" s="2">
        <v>15713.22</v>
      </c>
      <c r="D425" s="2">
        <v>7.7124150033473997</v>
      </c>
      <c r="E425" s="2">
        <v>23</v>
      </c>
      <c r="F425" s="2" t="s">
        <v>33</v>
      </c>
    </row>
    <row r="426" spans="1:7" x14ac:dyDescent="0.2">
      <c r="A426" s="2" t="s">
        <v>9</v>
      </c>
      <c r="B426" s="2">
        <v>6138.5400389605702</v>
      </c>
      <c r="C426" s="2">
        <v>13777.03</v>
      </c>
      <c r="D426" s="2">
        <v>7.97942051049868</v>
      </c>
      <c r="E426" s="2">
        <v>23</v>
      </c>
      <c r="F426" s="2" t="s">
        <v>33</v>
      </c>
      <c r="G426" t="s">
        <v>238</v>
      </c>
    </row>
    <row r="427" spans="1:7" x14ac:dyDescent="0.2">
      <c r="A427" t="s">
        <v>10</v>
      </c>
      <c r="B427">
        <v>1571.1658949085399</v>
      </c>
      <c r="C427">
        <v>186483.83</v>
      </c>
      <c r="D427">
        <v>0.83893310186068204</v>
      </c>
      <c r="E427">
        <v>24</v>
      </c>
      <c r="F427" t="s">
        <v>34</v>
      </c>
    </row>
    <row r="428" spans="1:7" x14ac:dyDescent="0.2">
      <c r="A428" t="s">
        <v>8</v>
      </c>
      <c r="B428">
        <v>1916.2209053946799</v>
      </c>
      <c r="C428">
        <v>237572.14</v>
      </c>
      <c r="D428">
        <v>0.80731301066080696</v>
      </c>
      <c r="E428">
        <v>24</v>
      </c>
      <c r="F428" t="s">
        <v>34</v>
      </c>
    </row>
    <row r="429" spans="1:7" x14ac:dyDescent="0.2">
      <c r="A429" t="s">
        <v>8</v>
      </c>
      <c r="B429">
        <v>2245.27228271383</v>
      </c>
      <c r="C429">
        <v>744024.49</v>
      </c>
      <c r="D429">
        <v>1.29066340284348</v>
      </c>
      <c r="E429">
        <v>24</v>
      </c>
      <c r="F429" t="s">
        <v>34</v>
      </c>
    </row>
    <row r="430" spans="1:7" x14ac:dyDescent="0.2">
      <c r="A430" t="s">
        <v>6</v>
      </c>
      <c r="B430">
        <v>2574.3263629020898</v>
      </c>
      <c r="C430">
        <v>744435.49</v>
      </c>
      <c r="D430">
        <v>1.95023023641904</v>
      </c>
      <c r="E430">
        <v>24</v>
      </c>
      <c r="F430" t="s">
        <v>34</v>
      </c>
    </row>
    <row r="431" spans="1:7" x14ac:dyDescent="0.2">
      <c r="A431" t="s">
        <v>10</v>
      </c>
      <c r="B431">
        <v>2879.3593504282198</v>
      </c>
      <c r="C431">
        <v>598738.1</v>
      </c>
      <c r="D431">
        <v>3.7527103777408599</v>
      </c>
      <c r="E431">
        <v>24</v>
      </c>
      <c r="F431" t="s">
        <v>34</v>
      </c>
    </row>
    <row r="432" spans="1:7" x14ac:dyDescent="0.2">
      <c r="A432" t="s">
        <v>11</v>
      </c>
      <c r="B432">
        <v>3224.41954840784</v>
      </c>
      <c r="C432">
        <v>1033836.87</v>
      </c>
      <c r="D432">
        <v>4.7377503291448004</v>
      </c>
      <c r="E432">
        <v>24</v>
      </c>
      <c r="F432" t="s">
        <v>34</v>
      </c>
    </row>
    <row r="433" spans="1:6" x14ac:dyDescent="0.2">
      <c r="A433" t="s">
        <v>9</v>
      </c>
      <c r="B433">
        <v>3530.44725658478</v>
      </c>
      <c r="C433">
        <v>958245.13</v>
      </c>
      <c r="D433">
        <v>5.0721379712899504</v>
      </c>
      <c r="E433">
        <v>24</v>
      </c>
      <c r="F433" t="s">
        <v>34</v>
      </c>
    </row>
    <row r="434" spans="1:6" x14ac:dyDescent="0.2">
      <c r="A434" t="s">
        <v>8</v>
      </c>
      <c r="B434">
        <v>3914.5202350274299</v>
      </c>
      <c r="C434">
        <v>789255.5</v>
      </c>
      <c r="D434">
        <v>5.6415601447900103</v>
      </c>
      <c r="E434">
        <v>25</v>
      </c>
      <c r="F434" t="s">
        <v>35</v>
      </c>
    </row>
    <row r="435" spans="1:6" x14ac:dyDescent="0.2">
      <c r="A435" t="s">
        <v>6</v>
      </c>
      <c r="B435">
        <v>4243.5711976250204</v>
      </c>
      <c r="C435">
        <v>137288.15</v>
      </c>
      <c r="D435">
        <v>6.9298931951999698</v>
      </c>
      <c r="E435">
        <v>25</v>
      </c>
      <c r="F435" t="s">
        <v>35</v>
      </c>
    </row>
    <row r="436" spans="1:6" x14ac:dyDescent="0.2">
      <c r="A436" t="s">
        <v>9</v>
      </c>
      <c r="B436">
        <v>4548.6184594415599</v>
      </c>
      <c r="C436">
        <v>426240.8</v>
      </c>
      <c r="D436">
        <v>7.1107762113889104</v>
      </c>
      <c r="E436">
        <v>25</v>
      </c>
      <c r="F436" t="s">
        <v>35</v>
      </c>
    </row>
    <row r="437" spans="1:6" x14ac:dyDescent="0.2">
      <c r="A437" t="s">
        <v>9</v>
      </c>
      <c r="B437">
        <v>4854.6459372770696</v>
      </c>
      <c r="C437">
        <v>492343.89</v>
      </c>
      <c r="D437">
        <v>7.5586016451994604</v>
      </c>
      <c r="E437">
        <v>25</v>
      </c>
      <c r="F437" t="s">
        <v>35</v>
      </c>
    </row>
    <row r="438" spans="1:6" x14ac:dyDescent="0.2">
      <c r="A438" t="s">
        <v>6</v>
      </c>
      <c r="B438">
        <v>5160.6704107711603</v>
      </c>
      <c r="C438">
        <v>161870.82999999999</v>
      </c>
      <c r="D438">
        <v>8.1288176512400305</v>
      </c>
      <c r="E438">
        <v>25</v>
      </c>
      <c r="F438" t="s">
        <v>35</v>
      </c>
    </row>
    <row r="439" spans="1:6" x14ac:dyDescent="0.2">
      <c r="A439" t="s">
        <v>11</v>
      </c>
      <c r="B439">
        <v>5465.7193874302602</v>
      </c>
      <c r="C439">
        <v>1028075.1</v>
      </c>
      <c r="D439">
        <v>8.1288176512400305</v>
      </c>
      <c r="E439">
        <v>25</v>
      </c>
      <c r="F439" t="s">
        <v>35</v>
      </c>
    </row>
    <row r="440" spans="1:6" x14ac:dyDescent="0.2">
      <c r="A440" t="s">
        <v>11</v>
      </c>
      <c r="B440">
        <v>4469.5826650897498</v>
      </c>
      <c r="C440">
        <v>922577.3</v>
      </c>
      <c r="D440">
        <v>6.8078124936103803</v>
      </c>
      <c r="E440">
        <v>26</v>
      </c>
      <c r="F440" t="s">
        <v>36</v>
      </c>
    </row>
    <row r="441" spans="1:6" x14ac:dyDescent="0.2">
      <c r="A441" t="s">
        <v>6</v>
      </c>
      <c r="B441">
        <v>4774.6233420795097</v>
      </c>
      <c r="C441">
        <v>556704.04</v>
      </c>
      <c r="D441">
        <v>7.1424336369514503</v>
      </c>
      <c r="E441">
        <v>26</v>
      </c>
      <c r="F441" t="s">
        <v>36</v>
      </c>
    </row>
    <row r="442" spans="1:6" x14ac:dyDescent="0.2">
      <c r="A442" t="s">
        <v>9</v>
      </c>
      <c r="B442">
        <v>5080.6463264170397</v>
      </c>
      <c r="C442">
        <v>526615.4</v>
      </c>
      <c r="D442">
        <v>7.53146161195437</v>
      </c>
      <c r="E442">
        <v>26</v>
      </c>
      <c r="F442" t="s">
        <v>36</v>
      </c>
    </row>
    <row r="443" spans="1:6" x14ac:dyDescent="0.2">
      <c r="A443" t="s">
        <v>6</v>
      </c>
      <c r="B443">
        <v>5385.6906114530202</v>
      </c>
      <c r="C443">
        <v>343339.51</v>
      </c>
      <c r="D443">
        <v>7.9477374529520697</v>
      </c>
      <c r="E443">
        <v>26</v>
      </c>
      <c r="F443" t="s">
        <v>36</v>
      </c>
    </row>
    <row r="444" spans="1:6" x14ac:dyDescent="0.2">
      <c r="A444" t="s">
        <v>10</v>
      </c>
      <c r="B444">
        <v>5730.7470364027804</v>
      </c>
      <c r="C444">
        <v>624981.06999999995</v>
      </c>
      <c r="D444">
        <v>8.1288176512400305</v>
      </c>
      <c r="E444">
        <v>26</v>
      </c>
      <c r="F444" t="s">
        <v>36</v>
      </c>
    </row>
    <row r="445" spans="1:6" x14ac:dyDescent="0.2">
      <c r="A445" t="s">
        <v>9</v>
      </c>
      <c r="B445">
        <v>6036.77948916887</v>
      </c>
      <c r="C445">
        <v>233187.89</v>
      </c>
      <c r="D445">
        <v>8.4276596522013296</v>
      </c>
      <c r="E445">
        <v>26</v>
      </c>
      <c r="F445" t="s">
        <v>36</v>
      </c>
    </row>
    <row r="446" spans="1:6" x14ac:dyDescent="0.2">
      <c r="A446" t="s">
        <v>8</v>
      </c>
      <c r="B446">
        <v>6365.8354651743703</v>
      </c>
      <c r="C446">
        <v>426955.03</v>
      </c>
      <c r="D446">
        <v>8.8806360796769503</v>
      </c>
      <c r="E446">
        <v>26</v>
      </c>
      <c r="F446" t="s">
        <v>36</v>
      </c>
    </row>
    <row r="447" spans="1:6" x14ac:dyDescent="0.2">
      <c r="A447" t="s">
        <v>9</v>
      </c>
      <c r="B447">
        <v>6671.8614487546101</v>
      </c>
      <c r="C447">
        <v>320217.23</v>
      </c>
      <c r="D447">
        <v>9.1797867949485799</v>
      </c>
      <c r="E447">
        <v>26</v>
      </c>
      <c r="F447" t="s">
        <v>36</v>
      </c>
    </row>
    <row r="448" spans="1:6" x14ac:dyDescent="0.2">
      <c r="A448" t="s">
        <v>8</v>
      </c>
      <c r="B448">
        <v>7000.9130007469603</v>
      </c>
      <c r="C448">
        <v>144923.49</v>
      </c>
      <c r="D448">
        <v>9.6601674453099609</v>
      </c>
      <c r="E448">
        <v>26</v>
      </c>
      <c r="F448" t="s">
        <v>36</v>
      </c>
    </row>
    <row r="449" spans="1:6" x14ac:dyDescent="0.2">
      <c r="A449" t="s">
        <v>8</v>
      </c>
      <c r="B449">
        <v>3302.4629137166799</v>
      </c>
      <c r="C449">
        <v>757180.32</v>
      </c>
      <c r="D449">
        <v>4.1683786526997899</v>
      </c>
      <c r="E449">
        <v>27</v>
      </c>
      <c r="F449" t="s">
        <v>37</v>
      </c>
    </row>
    <row r="450" spans="1:6" x14ac:dyDescent="0.2">
      <c r="A450" t="s">
        <v>10</v>
      </c>
      <c r="B450">
        <v>3631.5168809926599</v>
      </c>
      <c r="C450">
        <v>506911.79</v>
      </c>
      <c r="D450">
        <v>5.4879047031879402</v>
      </c>
      <c r="E450">
        <v>27</v>
      </c>
      <c r="F450" t="s">
        <v>37</v>
      </c>
    </row>
    <row r="451" spans="1:6" x14ac:dyDescent="0.2">
      <c r="A451" t="s">
        <v>11</v>
      </c>
      <c r="B451">
        <v>3976.5644544789202</v>
      </c>
      <c r="C451">
        <v>898455.92</v>
      </c>
      <c r="D451">
        <v>5.7590797618706997</v>
      </c>
      <c r="E451">
        <v>27</v>
      </c>
      <c r="F451" t="s">
        <v>37</v>
      </c>
    </row>
    <row r="452" spans="1:6" x14ac:dyDescent="0.2">
      <c r="A452" t="s">
        <v>8</v>
      </c>
      <c r="B452">
        <v>4305.6189178889499</v>
      </c>
      <c r="C452">
        <v>726941.62</v>
      </c>
      <c r="D452">
        <v>7.0203313028494501</v>
      </c>
      <c r="E452">
        <v>27</v>
      </c>
      <c r="F452" t="s">
        <v>37</v>
      </c>
    </row>
    <row r="453" spans="1:6" x14ac:dyDescent="0.2">
      <c r="A453" t="s">
        <v>9</v>
      </c>
      <c r="B453">
        <v>4611.6446733823204</v>
      </c>
      <c r="C453">
        <v>277372.46000000002</v>
      </c>
      <c r="D453">
        <v>7.2871672606150302</v>
      </c>
      <c r="E453">
        <v>27</v>
      </c>
      <c r="F453" t="s">
        <v>37</v>
      </c>
    </row>
    <row r="454" spans="1:6" x14ac:dyDescent="0.2">
      <c r="A454" t="s">
        <v>10</v>
      </c>
      <c r="B454">
        <v>2588.3552112021998</v>
      </c>
      <c r="C454">
        <v>237302.1</v>
      </c>
      <c r="D454">
        <v>1.1686931864102701</v>
      </c>
      <c r="E454">
        <v>28</v>
      </c>
      <c r="F454" t="s">
        <v>38</v>
      </c>
    </row>
    <row r="455" spans="1:6" x14ac:dyDescent="0.2">
      <c r="A455" t="s">
        <v>10</v>
      </c>
      <c r="B455">
        <v>2933.40292796622</v>
      </c>
      <c r="C455">
        <v>207311.95</v>
      </c>
      <c r="D455">
        <v>1.95023023641904</v>
      </c>
      <c r="E455">
        <v>28</v>
      </c>
      <c r="F455" t="s">
        <v>38</v>
      </c>
    </row>
    <row r="456" spans="1:6" x14ac:dyDescent="0.2">
      <c r="A456" t="s">
        <v>8</v>
      </c>
      <c r="B456">
        <v>3278.452666139</v>
      </c>
      <c r="C456">
        <v>151799.39000000001</v>
      </c>
      <c r="D456">
        <v>3.3009430622736602</v>
      </c>
      <c r="E456">
        <v>28</v>
      </c>
      <c r="F456" t="s">
        <v>38</v>
      </c>
    </row>
    <row r="457" spans="1:6" x14ac:dyDescent="0.2">
      <c r="A457" t="s">
        <v>10</v>
      </c>
      <c r="B457">
        <v>3607.5061197709001</v>
      </c>
      <c r="C457">
        <v>448165.6</v>
      </c>
      <c r="D457">
        <v>4.8010087624867799</v>
      </c>
      <c r="E457">
        <v>28</v>
      </c>
      <c r="F457" t="s">
        <v>38</v>
      </c>
    </row>
    <row r="458" spans="1:6" x14ac:dyDescent="0.2">
      <c r="A458" t="s">
        <v>8</v>
      </c>
      <c r="B458">
        <v>3952.5527954918598</v>
      </c>
      <c r="C458">
        <v>425288.12</v>
      </c>
      <c r="D458">
        <v>5.5782960291385599</v>
      </c>
      <c r="E458">
        <v>28</v>
      </c>
      <c r="F458" t="s">
        <v>38</v>
      </c>
    </row>
    <row r="459" spans="1:6" x14ac:dyDescent="0.2">
      <c r="A459" t="s">
        <v>10</v>
      </c>
      <c r="B459">
        <v>4281.6086843088997</v>
      </c>
      <c r="C459">
        <v>307481.3</v>
      </c>
      <c r="D459">
        <v>6.4823198870499903</v>
      </c>
      <c r="E459">
        <v>28</v>
      </c>
      <c r="F459" t="s">
        <v>38</v>
      </c>
    </row>
    <row r="460" spans="1:6" x14ac:dyDescent="0.2">
      <c r="A460" t="s">
        <v>9</v>
      </c>
      <c r="B460">
        <v>4626.6629754190999</v>
      </c>
      <c r="C460">
        <v>272702.43</v>
      </c>
      <c r="D460">
        <v>6.83945900357564</v>
      </c>
      <c r="E460">
        <v>28</v>
      </c>
      <c r="F460" t="s">
        <v>38</v>
      </c>
    </row>
    <row r="461" spans="1:6" x14ac:dyDescent="0.2">
      <c r="A461" t="s">
        <v>9</v>
      </c>
      <c r="B461">
        <v>4932.69720420666</v>
      </c>
      <c r="C461">
        <v>526107.71</v>
      </c>
      <c r="D461">
        <v>7.3504987692515096</v>
      </c>
      <c r="E461">
        <v>28</v>
      </c>
      <c r="F461" t="s">
        <v>38</v>
      </c>
    </row>
    <row r="462" spans="1:6" x14ac:dyDescent="0.2">
      <c r="A462" t="s">
        <v>11</v>
      </c>
      <c r="B462">
        <v>5238.7210516055902</v>
      </c>
      <c r="C462">
        <v>889132.67</v>
      </c>
      <c r="D462">
        <v>7.7124150033473997</v>
      </c>
      <c r="E462">
        <v>28</v>
      </c>
      <c r="F462" t="s">
        <v>38</v>
      </c>
    </row>
    <row r="463" spans="1:6" x14ac:dyDescent="0.2">
      <c r="A463" t="s">
        <v>8</v>
      </c>
      <c r="B463">
        <v>5567.7762478087398</v>
      </c>
      <c r="C463">
        <v>205970.82</v>
      </c>
      <c r="D463">
        <v>8.5816215947945906</v>
      </c>
      <c r="E463">
        <v>28</v>
      </c>
      <c r="F463" t="s">
        <v>38</v>
      </c>
    </row>
    <row r="464" spans="1:6" x14ac:dyDescent="0.2">
      <c r="A464" t="s">
        <v>8</v>
      </c>
      <c r="B464">
        <v>1311.19319763466</v>
      </c>
      <c r="C464">
        <v>326727.02</v>
      </c>
      <c r="D464">
        <v>0.87054953532218904</v>
      </c>
      <c r="E464">
        <v>29</v>
      </c>
      <c r="F464" t="s">
        <v>39</v>
      </c>
    </row>
    <row r="465" spans="1:6" x14ac:dyDescent="0.2">
      <c r="A465" t="s">
        <v>6</v>
      </c>
      <c r="B465">
        <v>1640.24797608261</v>
      </c>
      <c r="C465">
        <v>121334.66</v>
      </c>
      <c r="D465">
        <v>1.0512361283779099</v>
      </c>
      <c r="E465">
        <v>29</v>
      </c>
      <c r="F465" t="s">
        <v>39</v>
      </c>
    </row>
    <row r="466" spans="1:6" x14ac:dyDescent="0.2">
      <c r="A466" t="s">
        <v>10</v>
      </c>
      <c r="B466">
        <v>1945.28904436019</v>
      </c>
      <c r="C466">
        <v>372823.16</v>
      </c>
      <c r="D466">
        <v>1.29066340284348</v>
      </c>
      <c r="E466">
        <v>29</v>
      </c>
      <c r="F466" t="s">
        <v>39</v>
      </c>
    </row>
    <row r="467" spans="1:6" x14ac:dyDescent="0.2">
      <c r="A467" t="s">
        <v>8</v>
      </c>
      <c r="B467">
        <v>2290.3400491468301</v>
      </c>
      <c r="C467">
        <v>581319.43999999994</v>
      </c>
      <c r="D467">
        <v>1.32228308674494</v>
      </c>
      <c r="E467">
        <v>29</v>
      </c>
      <c r="F467" t="s">
        <v>39</v>
      </c>
    </row>
    <row r="468" spans="1:6" x14ac:dyDescent="0.2">
      <c r="A468" t="s">
        <v>6</v>
      </c>
      <c r="B468">
        <v>2619.3864572029402</v>
      </c>
      <c r="C468">
        <v>195563.97</v>
      </c>
      <c r="D468">
        <v>3.14734969493548</v>
      </c>
      <c r="E468">
        <v>29</v>
      </c>
      <c r="F468" t="s">
        <v>39</v>
      </c>
    </row>
    <row r="469" spans="1:6" x14ac:dyDescent="0.2">
      <c r="A469" t="s">
        <v>9</v>
      </c>
      <c r="B469">
        <v>2924.4117267973102</v>
      </c>
      <c r="C469">
        <v>250657.61</v>
      </c>
      <c r="D469">
        <v>3.7798186774730702</v>
      </c>
      <c r="E469">
        <v>29</v>
      </c>
      <c r="F469" t="s">
        <v>39</v>
      </c>
    </row>
    <row r="470" spans="1:6" x14ac:dyDescent="0.2">
      <c r="A470" t="s">
        <v>10</v>
      </c>
      <c r="B470">
        <v>3230.4547784807201</v>
      </c>
      <c r="C470">
        <v>526048.38</v>
      </c>
      <c r="D470">
        <v>4.7377503291448004</v>
      </c>
      <c r="E470">
        <v>29</v>
      </c>
      <c r="F470" t="s">
        <v>39</v>
      </c>
    </row>
    <row r="471" spans="1:6" x14ac:dyDescent="0.2">
      <c r="A471" t="s">
        <v>10</v>
      </c>
      <c r="B471">
        <v>3575.5088660205001</v>
      </c>
      <c r="C471">
        <v>666838.05000000005</v>
      </c>
      <c r="D471">
        <v>5.8223578448772404</v>
      </c>
      <c r="E471">
        <v>29</v>
      </c>
      <c r="F471" t="s">
        <v>39</v>
      </c>
    </row>
    <row r="472" spans="1:6" x14ac:dyDescent="0.2">
      <c r="A472" t="s">
        <v>10</v>
      </c>
      <c r="B472">
        <v>3920.56024098133</v>
      </c>
      <c r="C472">
        <v>788078.48</v>
      </c>
      <c r="D472">
        <v>6.2110808606624603</v>
      </c>
      <c r="E472">
        <v>29</v>
      </c>
      <c r="F472" t="s">
        <v>39</v>
      </c>
    </row>
    <row r="473" spans="1:6" x14ac:dyDescent="0.2">
      <c r="A473" t="s">
        <v>11</v>
      </c>
      <c r="B473">
        <v>4265.6073940568904</v>
      </c>
      <c r="C473">
        <v>876362.34</v>
      </c>
      <c r="D473">
        <v>6.59985890345573</v>
      </c>
      <c r="E473">
        <v>29</v>
      </c>
      <c r="F473" t="s">
        <v>39</v>
      </c>
    </row>
    <row r="474" spans="1:6" x14ac:dyDescent="0.2">
      <c r="A474" t="s">
        <v>9</v>
      </c>
      <c r="B474">
        <v>4571.6386838185599</v>
      </c>
      <c r="C474">
        <v>625977.04</v>
      </c>
      <c r="D474">
        <v>7.1107762113889104</v>
      </c>
      <c r="E474">
        <v>29</v>
      </c>
      <c r="F474" t="s">
        <v>39</v>
      </c>
    </row>
    <row r="475" spans="1:6" x14ac:dyDescent="0.2">
      <c r="A475" t="s">
        <v>8</v>
      </c>
      <c r="B475">
        <v>4900.6964613805703</v>
      </c>
      <c r="C475">
        <v>638376.71</v>
      </c>
      <c r="D475">
        <v>7.7667061543146803</v>
      </c>
      <c r="E475">
        <v>29</v>
      </c>
      <c r="F475" t="s">
        <v>39</v>
      </c>
    </row>
    <row r="476" spans="1:6" x14ac:dyDescent="0.2">
      <c r="A476" t="s">
        <v>6</v>
      </c>
      <c r="B476">
        <v>5205.7534723434301</v>
      </c>
      <c r="C476">
        <v>409424</v>
      </c>
      <c r="D476">
        <v>8.3370868519624093</v>
      </c>
      <c r="E476">
        <v>29</v>
      </c>
      <c r="F476" t="s">
        <v>39</v>
      </c>
    </row>
    <row r="477" spans="1:6" x14ac:dyDescent="0.2">
      <c r="A477" t="s">
        <v>6</v>
      </c>
      <c r="B477">
        <v>5510.7623958475597</v>
      </c>
      <c r="C477">
        <v>463888.35</v>
      </c>
      <c r="D477">
        <v>8.2827520942370096</v>
      </c>
      <c r="E477">
        <v>29</v>
      </c>
      <c r="F477" t="s">
        <v>39</v>
      </c>
    </row>
    <row r="478" spans="1:6" x14ac:dyDescent="0.2">
      <c r="A478" t="s">
        <v>9</v>
      </c>
      <c r="B478">
        <v>5816.8084176221901</v>
      </c>
      <c r="C478">
        <v>607428.68999999994</v>
      </c>
      <c r="D478">
        <v>8.6087896442095406</v>
      </c>
      <c r="E478">
        <v>29</v>
      </c>
      <c r="F478" t="s">
        <v>39</v>
      </c>
    </row>
    <row r="479" spans="1:6" x14ac:dyDescent="0.2">
      <c r="A479" t="s">
        <v>11</v>
      </c>
      <c r="B479">
        <v>5715.73413995803</v>
      </c>
      <c r="C479">
        <v>856664.04</v>
      </c>
      <c r="D479">
        <v>8.4593535021622994</v>
      </c>
      <c r="E479">
        <v>30</v>
      </c>
      <c r="F479" t="s">
        <v>40</v>
      </c>
    </row>
    <row r="480" spans="1:6" x14ac:dyDescent="0.2">
      <c r="A480" t="s">
        <v>6</v>
      </c>
      <c r="B480">
        <v>6020.7892634214004</v>
      </c>
      <c r="C480">
        <v>171825.29</v>
      </c>
      <c r="D480">
        <v>8.6404895440419498</v>
      </c>
      <c r="E480">
        <v>30</v>
      </c>
      <c r="F480" t="s">
        <v>40</v>
      </c>
    </row>
    <row r="481" spans="1:6" x14ac:dyDescent="0.2">
      <c r="A481" t="s">
        <v>8</v>
      </c>
      <c r="B481">
        <v>6349.8457518443702</v>
      </c>
      <c r="C481">
        <v>332229.86</v>
      </c>
      <c r="D481">
        <v>9.0891361212412498</v>
      </c>
      <c r="E481">
        <v>30</v>
      </c>
      <c r="F481" t="s">
        <v>40</v>
      </c>
    </row>
    <row r="482" spans="1:6" x14ac:dyDescent="0.2">
      <c r="A482" t="s">
        <v>9</v>
      </c>
      <c r="B482">
        <v>6655.8699922099804</v>
      </c>
      <c r="C482">
        <v>151729.20000000001</v>
      </c>
      <c r="D482">
        <v>9.3610533849080397</v>
      </c>
      <c r="E482">
        <v>30</v>
      </c>
      <c r="F482" t="s">
        <v>40</v>
      </c>
    </row>
    <row r="483" spans="1:6" x14ac:dyDescent="0.2">
      <c r="A483" t="s">
        <v>8</v>
      </c>
      <c r="B483">
        <v>6984.9089760127299</v>
      </c>
      <c r="C483">
        <v>110236.18</v>
      </c>
      <c r="D483">
        <v>9.7190961773872395</v>
      </c>
      <c r="E483">
        <v>30</v>
      </c>
      <c r="F483" t="s">
        <v>40</v>
      </c>
    </row>
    <row r="484" spans="1:6" x14ac:dyDescent="0.2">
      <c r="A484" t="s">
        <v>9</v>
      </c>
      <c r="B484">
        <v>7290.9448144253201</v>
      </c>
      <c r="C484">
        <v>171695.91</v>
      </c>
      <c r="D484">
        <v>9.9594076609293598</v>
      </c>
      <c r="E484">
        <v>30</v>
      </c>
      <c r="F484" t="s">
        <v>40</v>
      </c>
    </row>
    <row r="485" spans="1:6" x14ac:dyDescent="0.2">
      <c r="A485" t="s">
        <v>9</v>
      </c>
      <c r="B485">
        <v>2611.37838806745</v>
      </c>
      <c r="C485">
        <v>380166.83</v>
      </c>
      <c r="D485">
        <v>2.0405815020879099</v>
      </c>
      <c r="E485">
        <v>31</v>
      </c>
      <c r="F485" t="s">
        <v>41</v>
      </c>
    </row>
    <row r="486" spans="1:6" x14ac:dyDescent="0.2">
      <c r="A486" t="s">
        <v>11</v>
      </c>
      <c r="B486">
        <v>2917.4061598983999</v>
      </c>
      <c r="C486">
        <v>826187.21</v>
      </c>
      <c r="D486">
        <v>3.1789744869550098</v>
      </c>
      <c r="E486">
        <v>31</v>
      </c>
      <c r="F486" t="s">
        <v>41</v>
      </c>
    </row>
    <row r="487" spans="1:6" x14ac:dyDescent="0.2">
      <c r="A487" t="s">
        <v>6</v>
      </c>
      <c r="B487">
        <v>3222.4449745501101</v>
      </c>
      <c r="C487">
        <v>485097.9</v>
      </c>
      <c r="D487">
        <v>3.5719884033680001</v>
      </c>
      <c r="E487">
        <v>31</v>
      </c>
      <c r="F487" t="s">
        <v>41</v>
      </c>
    </row>
    <row r="488" spans="1:6" x14ac:dyDescent="0.2">
      <c r="A488" t="s">
        <v>10</v>
      </c>
      <c r="B488">
        <v>3567.4943774202702</v>
      </c>
      <c r="C488">
        <v>232319.11</v>
      </c>
      <c r="D488">
        <v>4.5298796192487103</v>
      </c>
      <c r="E488">
        <v>31</v>
      </c>
      <c r="F488" t="s">
        <v>41</v>
      </c>
    </row>
    <row r="489" spans="1:6" x14ac:dyDescent="0.2">
      <c r="A489" t="s">
        <v>6</v>
      </c>
      <c r="B489">
        <v>1970.24643382763</v>
      </c>
      <c r="C489">
        <v>133626.59</v>
      </c>
      <c r="D489">
        <v>0.80731301066080696</v>
      </c>
      <c r="E489">
        <v>32</v>
      </c>
      <c r="F489" t="s">
        <v>42</v>
      </c>
    </row>
    <row r="490" spans="1:6" x14ac:dyDescent="0.2">
      <c r="A490" t="s">
        <v>6</v>
      </c>
      <c r="B490">
        <v>2275.2877079208802</v>
      </c>
      <c r="C490">
        <v>199430.28</v>
      </c>
      <c r="D490">
        <v>0.87054953532218904</v>
      </c>
      <c r="E490">
        <v>32</v>
      </c>
      <c r="F490" t="s">
        <v>42</v>
      </c>
    </row>
    <row r="491" spans="1:6" x14ac:dyDescent="0.2">
      <c r="A491" t="s">
        <v>9</v>
      </c>
      <c r="B491">
        <v>2580.3332958371402</v>
      </c>
      <c r="C491">
        <v>180058.37</v>
      </c>
      <c r="D491">
        <v>0.92926780339876802</v>
      </c>
      <c r="E491">
        <v>32</v>
      </c>
      <c r="F491" t="s">
        <v>42</v>
      </c>
    </row>
    <row r="492" spans="1:6" x14ac:dyDescent="0.2">
      <c r="A492" t="s">
        <v>9</v>
      </c>
      <c r="B492">
        <v>2886.3652748647301</v>
      </c>
      <c r="C492">
        <v>183595.73</v>
      </c>
      <c r="D492">
        <v>1.1686931864102701</v>
      </c>
      <c r="E492">
        <v>32</v>
      </c>
      <c r="F492" t="s">
        <v>42</v>
      </c>
    </row>
    <row r="493" spans="1:6" x14ac:dyDescent="0.2">
      <c r="A493" t="s">
        <v>10</v>
      </c>
      <c r="B493">
        <v>3192.3910434436698</v>
      </c>
      <c r="C493">
        <v>209433.60000000001</v>
      </c>
      <c r="D493">
        <v>1.98185426152547</v>
      </c>
      <c r="E493">
        <v>32</v>
      </c>
      <c r="F493" t="s">
        <v>42</v>
      </c>
    </row>
    <row r="494" spans="1:6" x14ac:dyDescent="0.2">
      <c r="A494" t="s">
        <v>11</v>
      </c>
      <c r="B494">
        <v>3537.4692403715198</v>
      </c>
      <c r="C494">
        <v>826149.66</v>
      </c>
      <c r="D494">
        <v>6.0573838130315103</v>
      </c>
      <c r="E494">
        <v>32</v>
      </c>
      <c r="F494" t="s">
        <v>42</v>
      </c>
    </row>
    <row r="495" spans="1:6" x14ac:dyDescent="0.2">
      <c r="A495" t="s">
        <v>6</v>
      </c>
      <c r="B495">
        <v>3842.51511133448</v>
      </c>
      <c r="C495">
        <v>670012.49</v>
      </c>
      <c r="D495">
        <v>6.17943720377286</v>
      </c>
      <c r="E495">
        <v>32</v>
      </c>
      <c r="F495" t="s">
        <v>42</v>
      </c>
    </row>
    <row r="496" spans="1:6" x14ac:dyDescent="0.2">
      <c r="A496" t="s">
        <v>8</v>
      </c>
      <c r="B496">
        <v>4171.5694806991796</v>
      </c>
      <c r="C496">
        <v>534956.43000000005</v>
      </c>
      <c r="D496">
        <v>7.0791212037881204</v>
      </c>
      <c r="E496">
        <v>32</v>
      </c>
      <c r="F496" t="s">
        <v>42</v>
      </c>
    </row>
    <row r="497" spans="1:6" x14ac:dyDescent="0.2">
      <c r="A497" t="s">
        <v>8</v>
      </c>
      <c r="B497">
        <v>4500.6209922042699</v>
      </c>
      <c r="C497">
        <v>362125.77</v>
      </c>
      <c r="D497">
        <v>7.6807436362584403</v>
      </c>
      <c r="E497">
        <v>32</v>
      </c>
      <c r="F497" t="s">
        <v>42</v>
      </c>
    </row>
    <row r="498" spans="1:6" x14ac:dyDescent="0.2">
      <c r="A498" t="s">
        <v>6</v>
      </c>
      <c r="B498">
        <v>4805.6272482642298</v>
      </c>
      <c r="C498">
        <v>323206.55</v>
      </c>
      <c r="D498">
        <v>6.5410850778897602</v>
      </c>
      <c r="E498">
        <v>32</v>
      </c>
      <c r="F498" t="s">
        <v>42</v>
      </c>
    </row>
    <row r="499" spans="1:6" x14ac:dyDescent="0.2">
      <c r="A499" t="s">
        <v>10</v>
      </c>
      <c r="B499">
        <v>5150.6882445537003</v>
      </c>
      <c r="C499">
        <v>100267.39</v>
      </c>
      <c r="D499">
        <v>7.0519884542306297</v>
      </c>
      <c r="E499">
        <v>32</v>
      </c>
      <c r="F499" t="s">
        <v>42</v>
      </c>
    </row>
    <row r="500" spans="1:6" x14ac:dyDescent="0.2">
      <c r="A500" t="s">
        <v>8</v>
      </c>
      <c r="B500">
        <v>2564.34095153219</v>
      </c>
      <c r="C500">
        <v>256038.25</v>
      </c>
      <c r="D500">
        <v>0.98799588637351998</v>
      </c>
      <c r="E500">
        <v>33</v>
      </c>
      <c r="F500" t="s">
        <v>43</v>
      </c>
    </row>
    <row r="501" spans="1:6" x14ac:dyDescent="0.2">
      <c r="A501" t="s">
        <v>10</v>
      </c>
      <c r="B501">
        <v>2893.4009443588802</v>
      </c>
      <c r="C501">
        <v>118525.8</v>
      </c>
      <c r="D501">
        <v>1.8011496201833099</v>
      </c>
      <c r="E501">
        <v>33</v>
      </c>
      <c r="F501" t="s">
        <v>43</v>
      </c>
    </row>
    <row r="502" spans="1:6" x14ac:dyDescent="0.2">
      <c r="A502" t="s">
        <v>9</v>
      </c>
      <c r="B502">
        <v>3238.4400808180499</v>
      </c>
      <c r="C502">
        <v>65850.460000000006</v>
      </c>
      <c r="D502">
        <v>3.0570046281496701</v>
      </c>
      <c r="E502">
        <v>33</v>
      </c>
      <c r="F502" t="s">
        <v>43</v>
      </c>
    </row>
    <row r="503" spans="1:6" x14ac:dyDescent="0.2">
      <c r="A503" t="s">
        <v>10</v>
      </c>
      <c r="B503">
        <v>3544.4713699879699</v>
      </c>
      <c r="C503">
        <v>483102.66</v>
      </c>
      <c r="D503">
        <v>4.1683786526997899</v>
      </c>
      <c r="E503">
        <v>33</v>
      </c>
      <c r="F503" t="s">
        <v>43</v>
      </c>
    </row>
    <row r="504" spans="1:6" x14ac:dyDescent="0.2">
      <c r="A504" t="s">
        <v>8</v>
      </c>
      <c r="B504">
        <v>3889.52365567166</v>
      </c>
      <c r="C504">
        <v>144928.48000000001</v>
      </c>
      <c r="D504">
        <v>4.9817599689642602</v>
      </c>
      <c r="E504">
        <v>33</v>
      </c>
      <c r="F504" t="s">
        <v>43</v>
      </c>
    </row>
    <row r="505" spans="1:6" x14ac:dyDescent="0.2">
      <c r="A505" t="s">
        <v>10</v>
      </c>
      <c r="B505">
        <v>4218.5688221730597</v>
      </c>
      <c r="C505">
        <v>573449.15</v>
      </c>
      <c r="D505">
        <v>5.9398688292185504</v>
      </c>
      <c r="E505">
        <v>33</v>
      </c>
      <c r="F505" t="s">
        <v>43</v>
      </c>
    </row>
    <row r="506" spans="1:6" x14ac:dyDescent="0.2">
      <c r="A506" t="s">
        <v>9</v>
      </c>
      <c r="B506">
        <v>4563.6151402356199</v>
      </c>
      <c r="C506">
        <v>78789.27</v>
      </c>
      <c r="D506">
        <v>6.3602637445608803</v>
      </c>
      <c r="E506">
        <v>33</v>
      </c>
      <c r="F506" t="s">
        <v>43</v>
      </c>
    </row>
    <row r="507" spans="1:6" x14ac:dyDescent="0.2">
      <c r="A507" t="s">
        <v>11</v>
      </c>
      <c r="B507">
        <v>4869.6496003828497</v>
      </c>
      <c r="C507">
        <v>745118.67</v>
      </c>
      <c r="D507">
        <v>6.9886735196590397</v>
      </c>
      <c r="E507">
        <v>33</v>
      </c>
      <c r="F507" t="s">
        <v>43</v>
      </c>
    </row>
    <row r="508" spans="1:6" x14ac:dyDescent="0.2">
      <c r="A508" t="s">
        <v>10</v>
      </c>
      <c r="B508">
        <v>5214.6837473282503</v>
      </c>
      <c r="C508">
        <v>580302.11</v>
      </c>
      <c r="D508">
        <v>7.4409768875122104</v>
      </c>
      <c r="E508">
        <v>33</v>
      </c>
      <c r="F508" t="s">
        <v>43</v>
      </c>
    </row>
    <row r="509" spans="1:6" x14ac:dyDescent="0.2">
      <c r="A509" t="s">
        <v>9</v>
      </c>
      <c r="B509">
        <v>5520.7141367649501</v>
      </c>
      <c r="C509">
        <v>508860.68</v>
      </c>
      <c r="D509">
        <v>7.8029098864078499</v>
      </c>
      <c r="E509">
        <v>33</v>
      </c>
      <c r="F509" t="s">
        <v>43</v>
      </c>
    </row>
    <row r="510" spans="1:6" x14ac:dyDescent="0.2">
      <c r="A510" t="s">
        <v>9</v>
      </c>
      <c r="B510">
        <v>5826.7486341706599</v>
      </c>
      <c r="C510">
        <v>182656.81</v>
      </c>
      <c r="D510">
        <v>8.2193639949639596</v>
      </c>
      <c r="E510">
        <v>33</v>
      </c>
      <c r="F510" t="s">
        <v>43</v>
      </c>
    </row>
    <row r="511" spans="1:6" x14ac:dyDescent="0.2">
      <c r="A511" t="s">
        <v>8</v>
      </c>
      <c r="B511">
        <v>6155.8183802970298</v>
      </c>
      <c r="C511">
        <v>156888.63</v>
      </c>
      <c r="D511">
        <v>8.5816215947945906</v>
      </c>
      <c r="E511">
        <v>33</v>
      </c>
      <c r="F511" t="s">
        <v>43</v>
      </c>
    </row>
    <row r="512" spans="1:6" x14ac:dyDescent="0.2">
      <c r="A512" t="s">
        <v>10</v>
      </c>
      <c r="B512">
        <v>6500.8535573334802</v>
      </c>
      <c r="C512">
        <v>271976.59999999998</v>
      </c>
      <c r="D512">
        <v>8.9078380798975605</v>
      </c>
      <c r="E512">
        <v>33</v>
      </c>
      <c r="F512" t="s">
        <v>43</v>
      </c>
    </row>
    <row r="513" spans="1:6" x14ac:dyDescent="0.2">
      <c r="A513" t="s">
        <v>8</v>
      </c>
      <c r="B513">
        <v>6829.9035616514902</v>
      </c>
      <c r="C513">
        <v>144101.87</v>
      </c>
      <c r="D513">
        <v>9.3882361785252897</v>
      </c>
      <c r="E513">
        <v>33</v>
      </c>
      <c r="F513" t="s">
        <v>43</v>
      </c>
    </row>
    <row r="514" spans="1:6" x14ac:dyDescent="0.2">
      <c r="A514" t="s">
        <v>10</v>
      </c>
      <c r="B514">
        <v>7174.94538287868</v>
      </c>
      <c r="C514">
        <v>423353.82</v>
      </c>
      <c r="D514">
        <v>9.5967154518445295</v>
      </c>
      <c r="E514">
        <v>33</v>
      </c>
      <c r="F514" t="s">
        <v>43</v>
      </c>
    </row>
    <row r="515" spans="1:6" x14ac:dyDescent="0.2">
      <c r="A515" t="s">
        <v>6</v>
      </c>
      <c r="B515">
        <v>7479.9828321457699</v>
      </c>
      <c r="C515">
        <v>166844.07</v>
      </c>
      <c r="D515">
        <v>9.7190961773872395</v>
      </c>
      <c r="E515">
        <v>33</v>
      </c>
      <c r="F515" t="s">
        <v>43</v>
      </c>
    </row>
    <row r="516" spans="1:6" x14ac:dyDescent="0.2">
      <c r="A516" t="s">
        <v>8</v>
      </c>
      <c r="B516">
        <v>7809.0384104237501</v>
      </c>
      <c r="C516">
        <v>211819.34</v>
      </c>
      <c r="D516">
        <v>10.0772891537031</v>
      </c>
      <c r="E516">
        <v>33</v>
      </c>
      <c r="F516" t="s">
        <v>43</v>
      </c>
    </row>
    <row r="517" spans="1:6" x14ac:dyDescent="0.2">
      <c r="A517" t="s">
        <v>9</v>
      </c>
      <c r="B517">
        <v>8115.08592340614</v>
      </c>
      <c r="C517">
        <v>58923.33</v>
      </c>
      <c r="D517">
        <v>10.258681902853599</v>
      </c>
      <c r="E517">
        <v>33</v>
      </c>
      <c r="F517" t="s">
        <v>43</v>
      </c>
    </row>
    <row r="518" spans="1:6" x14ac:dyDescent="0.2">
      <c r="A518" t="s">
        <v>8</v>
      </c>
      <c r="B518">
        <v>8444.1057852166705</v>
      </c>
      <c r="C518">
        <v>99431.24</v>
      </c>
      <c r="D518">
        <v>10.6487744962851</v>
      </c>
      <c r="E518">
        <v>33</v>
      </c>
      <c r="F518" t="s">
        <v>43</v>
      </c>
    </row>
    <row r="519" spans="1:6" x14ac:dyDescent="0.2">
      <c r="A519" t="s">
        <v>6</v>
      </c>
      <c r="B519">
        <v>8749.1585327582197</v>
      </c>
      <c r="C519">
        <v>94667.34</v>
      </c>
      <c r="D519">
        <v>10.712296018568701</v>
      </c>
      <c r="E519">
        <v>33</v>
      </c>
      <c r="F519" t="s">
        <v>43</v>
      </c>
    </row>
    <row r="520" spans="1:6" x14ac:dyDescent="0.2">
      <c r="A520" t="s">
        <v>8</v>
      </c>
      <c r="B520">
        <v>9078.1945838340107</v>
      </c>
      <c r="C520">
        <v>181191.55</v>
      </c>
      <c r="D520">
        <v>11.0117443616867</v>
      </c>
      <c r="E520">
        <v>33</v>
      </c>
      <c r="F520" t="s">
        <v>43</v>
      </c>
    </row>
    <row r="521" spans="1:6" x14ac:dyDescent="0.2">
      <c r="A521" t="s">
        <v>8</v>
      </c>
      <c r="B521">
        <v>9407.2441412104599</v>
      </c>
      <c r="C521">
        <v>91180.43</v>
      </c>
      <c r="D521">
        <v>11.247654928334599</v>
      </c>
      <c r="E521">
        <v>33</v>
      </c>
      <c r="F521" t="s">
        <v>43</v>
      </c>
    </row>
    <row r="522" spans="1:6" x14ac:dyDescent="0.2">
      <c r="A522" t="s">
        <v>6</v>
      </c>
      <c r="B522">
        <v>9712.3044063232501</v>
      </c>
      <c r="C522">
        <v>59289.81</v>
      </c>
      <c r="D522">
        <v>11.370116702286399</v>
      </c>
      <c r="E522">
        <v>33</v>
      </c>
      <c r="F522" t="s">
        <v>43</v>
      </c>
    </row>
    <row r="523" spans="1:6" x14ac:dyDescent="0.2">
      <c r="A523" t="s">
        <v>6</v>
      </c>
      <c r="B523">
        <v>10017.3001340096</v>
      </c>
      <c r="C523">
        <v>104471.24</v>
      </c>
      <c r="D523">
        <v>11.492626493740101</v>
      </c>
      <c r="E523">
        <v>33</v>
      </c>
      <c r="F523" t="s">
        <v>43</v>
      </c>
    </row>
    <row r="524" spans="1:6" x14ac:dyDescent="0.2">
      <c r="A524" t="s">
        <v>8</v>
      </c>
      <c r="B524">
        <v>10346.3966686576</v>
      </c>
      <c r="C524">
        <v>124624.31</v>
      </c>
      <c r="D524">
        <v>11.7014509017944</v>
      </c>
      <c r="E524">
        <v>33</v>
      </c>
      <c r="F524" t="s">
        <v>43</v>
      </c>
    </row>
    <row r="525" spans="1:6" x14ac:dyDescent="0.2">
      <c r="A525" t="s">
        <v>6</v>
      </c>
      <c r="B525">
        <v>10651.381297981899</v>
      </c>
      <c r="C525">
        <v>125411.96</v>
      </c>
      <c r="D525">
        <v>11.7014509017944</v>
      </c>
      <c r="E525">
        <v>33</v>
      </c>
      <c r="F525" t="s">
        <v>43</v>
      </c>
    </row>
    <row r="526" spans="1:6" x14ac:dyDescent="0.2">
      <c r="A526" t="s">
        <v>8</v>
      </c>
      <c r="B526">
        <v>2613.3666433345902</v>
      </c>
      <c r="C526">
        <v>116052.53</v>
      </c>
      <c r="D526">
        <v>2.0993091936588302</v>
      </c>
      <c r="E526">
        <v>36</v>
      </c>
      <c r="F526" t="s">
        <v>44</v>
      </c>
    </row>
    <row r="527" spans="1:6" x14ac:dyDescent="0.2">
      <c r="A527" t="s">
        <v>6</v>
      </c>
      <c r="B527">
        <v>2942.4049636432201</v>
      </c>
      <c r="C527">
        <v>59583.13</v>
      </c>
      <c r="D527">
        <v>4.5298796192487103</v>
      </c>
      <c r="E527">
        <v>36</v>
      </c>
      <c r="F527" t="s">
        <v>44</v>
      </c>
    </row>
    <row r="528" spans="1:6" x14ac:dyDescent="0.2">
      <c r="A528" t="s">
        <v>11</v>
      </c>
      <c r="B528">
        <v>3247.4495889084401</v>
      </c>
      <c r="C528">
        <v>695116.97</v>
      </c>
      <c r="D528">
        <v>4.8010087624867799</v>
      </c>
      <c r="E528">
        <v>36</v>
      </c>
      <c r="F528" t="s">
        <v>44</v>
      </c>
    </row>
    <row r="529" spans="1:6" x14ac:dyDescent="0.2">
      <c r="A529" t="s">
        <v>9</v>
      </c>
      <c r="B529">
        <v>3553.4769912499901</v>
      </c>
      <c r="C529">
        <v>259536.94</v>
      </c>
      <c r="D529">
        <v>5.8494748866240203</v>
      </c>
      <c r="E529">
        <v>36</v>
      </c>
      <c r="F529" t="s">
        <v>44</v>
      </c>
    </row>
    <row r="530" spans="1:6" x14ac:dyDescent="0.2">
      <c r="A530" t="s">
        <v>9</v>
      </c>
      <c r="B530">
        <v>1332.2054728180699</v>
      </c>
      <c r="C530">
        <v>444137.57</v>
      </c>
      <c r="D530">
        <v>0.80731301066080696</v>
      </c>
      <c r="E530">
        <v>37</v>
      </c>
      <c r="F530" t="s">
        <v>45</v>
      </c>
    </row>
    <row r="531" spans="1:6" x14ac:dyDescent="0.2">
      <c r="A531" t="s">
        <v>6</v>
      </c>
      <c r="B531">
        <v>1638.23276070561</v>
      </c>
      <c r="C531">
        <v>276761.59000000003</v>
      </c>
      <c r="D531">
        <v>0.87054953532218904</v>
      </c>
      <c r="E531">
        <v>37</v>
      </c>
      <c r="F531" t="s">
        <v>45</v>
      </c>
    </row>
    <row r="532" spans="1:6" x14ac:dyDescent="0.2">
      <c r="A532" t="s">
        <v>9</v>
      </c>
      <c r="B532">
        <v>1943.27402978792</v>
      </c>
      <c r="C532">
        <v>563934.9</v>
      </c>
      <c r="D532">
        <v>0.96089091854095499</v>
      </c>
      <c r="E532">
        <v>37</v>
      </c>
      <c r="F532" t="s">
        <v>45</v>
      </c>
    </row>
    <row r="533" spans="1:6" x14ac:dyDescent="0.2">
      <c r="A533" t="s">
        <v>10</v>
      </c>
      <c r="B533">
        <v>2249.3077109329902</v>
      </c>
      <c r="C533">
        <v>431517.84</v>
      </c>
      <c r="D533">
        <v>1.07834287838936</v>
      </c>
      <c r="E533">
        <v>37</v>
      </c>
      <c r="F533" t="s">
        <v>45</v>
      </c>
    </row>
    <row r="534" spans="1:6" x14ac:dyDescent="0.2">
      <c r="A534" t="s">
        <v>8</v>
      </c>
      <c r="B534">
        <v>2594.3584780471301</v>
      </c>
      <c r="C534">
        <v>624656.43999999994</v>
      </c>
      <c r="D534">
        <v>1.7378969446500101</v>
      </c>
      <c r="E534">
        <v>37</v>
      </c>
      <c r="F534" t="s">
        <v>45</v>
      </c>
    </row>
    <row r="535" spans="1:6" x14ac:dyDescent="0.2">
      <c r="A535" t="s">
        <v>6</v>
      </c>
      <c r="B535">
        <v>2923.4106326619599</v>
      </c>
      <c r="C535">
        <v>494697.03</v>
      </c>
      <c r="D535">
        <v>3.4500159120241798</v>
      </c>
      <c r="E535">
        <v>37</v>
      </c>
      <c r="F535" t="s">
        <v>45</v>
      </c>
    </row>
    <row r="536" spans="1:6" x14ac:dyDescent="0.2">
      <c r="A536" t="s">
        <v>11</v>
      </c>
      <c r="B536">
        <v>3228.4428560408501</v>
      </c>
      <c r="C536">
        <v>691893.35</v>
      </c>
      <c r="D536">
        <v>4.1096437529405003</v>
      </c>
      <c r="E536">
        <v>37</v>
      </c>
      <c r="F536" t="s">
        <v>45</v>
      </c>
    </row>
    <row r="537" spans="1:6" x14ac:dyDescent="0.2">
      <c r="A537" t="s">
        <v>9</v>
      </c>
      <c r="B537">
        <v>3534.4704069249501</v>
      </c>
      <c r="C537">
        <v>397810.88</v>
      </c>
      <c r="D537">
        <v>4.85975264466604</v>
      </c>
      <c r="E537">
        <v>37</v>
      </c>
      <c r="F537" t="s">
        <v>45</v>
      </c>
    </row>
    <row r="538" spans="1:6" x14ac:dyDescent="0.2">
      <c r="A538" t="s">
        <v>8</v>
      </c>
      <c r="B538">
        <v>3863.5252547303098</v>
      </c>
      <c r="C538">
        <v>555742.31999999995</v>
      </c>
      <c r="D538">
        <v>5.7907224849542001</v>
      </c>
      <c r="E538">
        <v>37</v>
      </c>
      <c r="F538" t="s">
        <v>45</v>
      </c>
    </row>
    <row r="539" spans="1:6" x14ac:dyDescent="0.2">
      <c r="A539" t="s">
        <v>6</v>
      </c>
      <c r="B539">
        <v>4168.5529359017501</v>
      </c>
      <c r="C539">
        <v>111458.92</v>
      </c>
      <c r="D539">
        <v>6.2382045622348796</v>
      </c>
      <c r="E539">
        <v>37</v>
      </c>
      <c r="F539" t="s">
        <v>45</v>
      </c>
    </row>
    <row r="540" spans="1:6" x14ac:dyDescent="0.2">
      <c r="A540" t="s">
        <v>9</v>
      </c>
      <c r="B540">
        <v>4474.5776080401301</v>
      </c>
      <c r="C540">
        <v>250894.58</v>
      </c>
      <c r="D540">
        <v>6.83945900357564</v>
      </c>
      <c r="E540">
        <v>37</v>
      </c>
      <c r="F540" t="s">
        <v>45</v>
      </c>
    </row>
    <row r="541" spans="1:6" x14ac:dyDescent="0.2">
      <c r="A541" t="s">
        <v>8</v>
      </c>
      <c r="B541">
        <v>4803.6271202408298</v>
      </c>
      <c r="C541">
        <v>212495.95</v>
      </c>
      <c r="D541">
        <v>7.5586016451994604</v>
      </c>
      <c r="E541">
        <v>37</v>
      </c>
      <c r="F541" t="s">
        <v>45</v>
      </c>
    </row>
    <row r="542" spans="1:6" x14ac:dyDescent="0.2">
      <c r="A542" t="s">
        <v>10</v>
      </c>
      <c r="B542">
        <v>5148.6775800503601</v>
      </c>
      <c r="C542">
        <v>259110.89</v>
      </c>
      <c r="D542">
        <v>8.0111072178363791</v>
      </c>
      <c r="E542">
        <v>37</v>
      </c>
      <c r="F542" t="s">
        <v>45</v>
      </c>
    </row>
    <row r="543" spans="1:6" x14ac:dyDescent="0.2">
      <c r="A543" t="s">
        <v>9</v>
      </c>
      <c r="B543">
        <v>5454.7178127580401</v>
      </c>
      <c r="C543">
        <v>439475.56</v>
      </c>
      <c r="D543">
        <v>8.2827520942370096</v>
      </c>
      <c r="E543">
        <v>37</v>
      </c>
      <c r="F543" t="s">
        <v>45</v>
      </c>
    </row>
    <row r="544" spans="1:6" x14ac:dyDescent="0.2">
      <c r="A544" t="s">
        <v>9</v>
      </c>
      <c r="B544">
        <v>5760.7644725708096</v>
      </c>
      <c r="C544">
        <v>105091.75</v>
      </c>
      <c r="D544">
        <v>7.53146161195437</v>
      </c>
      <c r="E544">
        <v>37</v>
      </c>
      <c r="F544" t="s">
        <v>45</v>
      </c>
    </row>
    <row r="545" spans="1:6" x14ac:dyDescent="0.2">
      <c r="A545" t="s">
        <v>10</v>
      </c>
      <c r="B545">
        <v>3144.4022605519999</v>
      </c>
      <c r="C545">
        <v>312540.17</v>
      </c>
      <c r="D545">
        <v>3.7527103777408599</v>
      </c>
      <c r="E545">
        <v>38</v>
      </c>
      <c r="F545" t="s">
        <v>46</v>
      </c>
    </row>
    <row r="546" spans="1:6" x14ac:dyDescent="0.2">
      <c r="A546" t="s">
        <v>8</v>
      </c>
      <c r="B546">
        <v>3489.4543867828202</v>
      </c>
      <c r="C546">
        <v>351530.13</v>
      </c>
      <c r="D546">
        <v>4.6473744447708096</v>
      </c>
      <c r="E546">
        <v>38</v>
      </c>
      <c r="F546" t="s">
        <v>46</v>
      </c>
    </row>
    <row r="547" spans="1:6" x14ac:dyDescent="0.2">
      <c r="A547" t="s">
        <v>6</v>
      </c>
      <c r="B547">
        <v>3818.5047775175799</v>
      </c>
      <c r="C547">
        <v>557567.86</v>
      </c>
      <c r="D547">
        <v>5.6099234874725301</v>
      </c>
      <c r="E547">
        <v>38</v>
      </c>
      <c r="F547" t="s">
        <v>46</v>
      </c>
    </row>
    <row r="548" spans="1:6" x14ac:dyDescent="0.2">
      <c r="A548" t="s">
        <v>6</v>
      </c>
      <c r="B548">
        <v>4123.5409034197601</v>
      </c>
      <c r="C548">
        <v>445752.35</v>
      </c>
      <c r="D548">
        <v>6.3919035450299599</v>
      </c>
      <c r="E548">
        <v>38</v>
      </c>
      <c r="F548" t="s">
        <v>46</v>
      </c>
    </row>
    <row r="549" spans="1:6" x14ac:dyDescent="0.2">
      <c r="A549" t="s">
        <v>10</v>
      </c>
      <c r="B549">
        <v>4428.5815312446803</v>
      </c>
      <c r="C549">
        <v>449046.3</v>
      </c>
      <c r="D549">
        <v>6.3919035450299599</v>
      </c>
      <c r="E549">
        <v>38</v>
      </c>
      <c r="F549" t="s">
        <v>46</v>
      </c>
    </row>
    <row r="550" spans="1:6" x14ac:dyDescent="0.2">
      <c r="A550" t="s">
        <v>11</v>
      </c>
      <c r="B550">
        <v>4773.62638513822</v>
      </c>
      <c r="C550">
        <v>677042.88</v>
      </c>
      <c r="D550">
        <v>6.9298931951999698</v>
      </c>
      <c r="E550">
        <v>38</v>
      </c>
      <c r="F550" t="s">
        <v>46</v>
      </c>
    </row>
    <row r="551" spans="1:6" x14ac:dyDescent="0.2">
      <c r="A551" t="s">
        <v>10</v>
      </c>
      <c r="B551">
        <v>5118.6738343673896</v>
      </c>
      <c r="C551">
        <v>538180.4</v>
      </c>
      <c r="D551">
        <v>7.3188331361293804</v>
      </c>
      <c r="E551">
        <v>38</v>
      </c>
      <c r="F551" t="s">
        <v>46</v>
      </c>
    </row>
    <row r="552" spans="1:6" x14ac:dyDescent="0.2">
      <c r="A552" t="s">
        <v>9</v>
      </c>
      <c r="B552">
        <v>5424.7179021208003</v>
      </c>
      <c r="C552">
        <v>665813.31000000006</v>
      </c>
      <c r="D552">
        <v>7.7395614460786204</v>
      </c>
      <c r="E552">
        <v>38</v>
      </c>
      <c r="F552" t="s">
        <v>46</v>
      </c>
    </row>
    <row r="553" spans="1:6" x14ac:dyDescent="0.2">
      <c r="A553" t="s">
        <v>6</v>
      </c>
      <c r="B553">
        <v>5729.7513702229899</v>
      </c>
      <c r="C553">
        <v>497349.85</v>
      </c>
      <c r="D553">
        <v>7.97942051049868</v>
      </c>
      <c r="E553">
        <v>38</v>
      </c>
      <c r="F553" t="s">
        <v>46</v>
      </c>
    </row>
    <row r="554" spans="1:6" x14ac:dyDescent="0.2">
      <c r="A554" t="s">
        <v>10</v>
      </c>
      <c r="B554">
        <v>6074.81763394472</v>
      </c>
      <c r="C554">
        <v>258193.22</v>
      </c>
      <c r="D554">
        <v>8.3099201039155304</v>
      </c>
      <c r="E554">
        <v>38</v>
      </c>
      <c r="F554" t="s">
        <v>46</v>
      </c>
    </row>
    <row r="555" spans="1:6" x14ac:dyDescent="0.2">
      <c r="A555" t="s">
        <v>8</v>
      </c>
      <c r="B555">
        <v>6403.8503295625096</v>
      </c>
      <c r="C555">
        <v>276886.89</v>
      </c>
      <c r="D555">
        <v>8.7628044779777508</v>
      </c>
      <c r="E555">
        <v>38</v>
      </c>
      <c r="F555" t="s">
        <v>46</v>
      </c>
    </row>
    <row r="556" spans="1:6" x14ac:dyDescent="0.2">
      <c r="A556" t="s">
        <v>6</v>
      </c>
      <c r="B556">
        <v>6708.8600537748098</v>
      </c>
      <c r="C556">
        <v>60603.839999999997</v>
      </c>
      <c r="D556">
        <v>8.8806360796769503</v>
      </c>
      <c r="E556">
        <v>38</v>
      </c>
      <c r="F556" t="s">
        <v>46</v>
      </c>
    </row>
    <row r="557" spans="1:6" x14ac:dyDescent="0.2">
      <c r="A557" t="s">
        <v>8</v>
      </c>
      <c r="B557">
        <v>2463.2929510208301</v>
      </c>
      <c r="C557">
        <v>39776.58</v>
      </c>
      <c r="D557">
        <v>0.98799588637351998</v>
      </c>
      <c r="E557">
        <v>39</v>
      </c>
      <c r="F557" t="s">
        <v>47</v>
      </c>
    </row>
    <row r="558" spans="1:6" x14ac:dyDescent="0.2">
      <c r="A558" t="s">
        <v>8</v>
      </c>
      <c r="B558">
        <v>2792.3232840757801</v>
      </c>
      <c r="C558">
        <v>226463.47</v>
      </c>
      <c r="D558">
        <v>1.29066340284348</v>
      </c>
      <c r="E558">
        <v>39</v>
      </c>
      <c r="F558" t="s">
        <v>47</v>
      </c>
    </row>
    <row r="559" spans="1:6" x14ac:dyDescent="0.2">
      <c r="A559" t="s">
        <v>11</v>
      </c>
      <c r="B559">
        <v>3121.37627387578</v>
      </c>
      <c r="C559">
        <v>673513.97</v>
      </c>
      <c r="D559">
        <v>3.0027927116235098</v>
      </c>
      <c r="E559">
        <v>39</v>
      </c>
      <c r="F559" t="s">
        <v>47</v>
      </c>
    </row>
    <row r="560" spans="1:6" x14ac:dyDescent="0.2">
      <c r="A560" t="s">
        <v>10</v>
      </c>
      <c r="B560">
        <v>3466.4383263565401</v>
      </c>
      <c r="C560">
        <v>38084.33</v>
      </c>
      <c r="D560">
        <v>4.6790031865914701</v>
      </c>
      <c r="E560">
        <v>39</v>
      </c>
      <c r="F560" t="s">
        <v>47</v>
      </c>
    </row>
    <row r="561" spans="1:6" x14ac:dyDescent="0.2">
      <c r="A561" t="s">
        <v>6</v>
      </c>
      <c r="B561">
        <v>3771.4645461033501</v>
      </c>
      <c r="C561">
        <v>453720.58</v>
      </c>
      <c r="D561">
        <v>4.8281210438092499</v>
      </c>
      <c r="E561">
        <v>39</v>
      </c>
      <c r="F561" t="s">
        <v>47</v>
      </c>
    </row>
    <row r="562" spans="1:6" x14ac:dyDescent="0.2">
      <c r="A562" t="s">
        <v>9</v>
      </c>
      <c r="B562">
        <v>4077.4943693520399</v>
      </c>
      <c r="C562">
        <v>300958.62</v>
      </c>
      <c r="D562">
        <v>5.4879047031879402</v>
      </c>
      <c r="E562">
        <v>39</v>
      </c>
      <c r="F562" t="s">
        <v>47</v>
      </c>
    </row>
    <row r="563" spans="1:6" x14ac:dyDescent="0.2">
      <c r="A563" t="s">
        <v>10</v>
      </c>
      <c r="B563">
        <v>4422.5425023930902</v>
      </c>
      <c r="C563">
        <v>363547.09</v>
      </c>
      <c r="D563">
        <v>6.2110808606624603</v>
      </c>
      <c r="E563">
        <v>39</v>
      </c>
      <c r="F563" t="s">
        <v>47</v>
      </c>
    </row>
    <row r="564" spans="1:6" x14ac:dyDescent="0.2">
      <c r="A564" t="s">
        <v>9</v>
      </c>
      <c r="B564">
        <v>4728.56579691139</v>
      </c>
      <c r="C564">
        <v>274615.51</v>
      </c>
      <c r="D564">
        <v>6.6269811943848902</v>
      </c>
      <c r="E564">
        <v>39</v>
      </c>
      <c r="F564" t="s">
        <v>47</v>
      </c>
    </row>
    <row r="565" spans="1:6" x14ac:dyDescent="0.2">
      <c r="A565" t="s">
        <v>8</v>
      </c>
      <c r="B565">
        <v>5057.6319846672204</v>
      </c>
      <c r="C565">
        <v>78329.27</v>
      </c>
      <c r="D565">
        <v>7.7667061543146803</v>
      </c>
      <c r="E565">
        <v>39</v>
      </c>
      <c r="F565" t="s">
        <v>47</v>
      </c>
    </row>
    <row r="566" spans="1:6" x14ac:dyDescent="0.2">
      <c r="A566" t="s">
        <v>6</v>
      </c>
      <c r="B566">
        <v>5362.6663242923896</v>
      </c>
      <c r="C566">
        <v>361248.11</v>
      </c>
      <c r="D566">
        <v>7.6490736877600298</v>
      </c>
      <c r="E566">
        <v>39</v>
      </c>
      <c r="F566" t="s">
        <v>47</v>
      </c>
    </row>
    <row r="567" spans="1:6" x14ac:dyDescent="0.2">
      <c r="A567" t="s">
        <v>9</v>
      </c>
      <c r="B567">
        <v>2832.3288677556202</v>
      </c>
      <c r="C567">
        <v>628192.39</v>
      </c>
      <c r="D567">
        <v>1.4668493187109599</v>
      </c>
      <c r="E567">
        <v>40</v>
      </c>
      <c r="F567" t="s">
        <v>48</v>
      </c>
    </row>
    <row r="568" spans="1:6" x14ac:dyDescent="0.2">
      <c r="A568" t="s">
        <v>11</v>
      </c>
      <c r="B568">
        <v>3138.3539462004801</v>
      </c>
      <c r="C568">
        <v>667987.87</v>
      </c>
      <c r="D568">
        <v>2.6097861702918999</v>
      </c>
      <c r="E568">
        <v>40</v>
      </c>
      <c r="F568" t="s">
        <v>48</v>
      </c>
    </row>
    <row r="569" spans="1:6" x14ac:dyDescent="0.2">
      <c r="A569" t="s">
        <v>8</v>
      </c>
      <c r="B569">
        <v>3467.4105410018101</v>
      </c>
      <c r="C569">
        <v>487766.67</v>
      </c>
      <c r="D569">
        <v>4.32201112863223</v>
      </c>
      <c r="E569">
        <v>40</v>
      </c>
      <c r="F569" t="s">
        <v>48</v>
      </c>
    </row>
    <row r="570" spans="1:6" x14ac:dyDescent="0.2">
      <c r="A570" t="s">
        <v>6</v>
      </c>
      <c r="B570">
        <v>3772.4570350590998</v>
      </c>
      <c r="C570">
        <v>337657.97</v>
      </c>
      <c r="D570">
        <v>5.0405052121162397</v>
      </c>
      <c r="E570">
        <v>40</v>
      </c>
      <c r="F570" t="s">
        <v>48</v>
      </c>
    </row>
    <row r="571" spans="1:6" x14ac:dyDescent="0.2">
      <c r="A571" t="s">
        <v>8</v>
      </c>
      <c r="B571">
        <v>4101.5058224948298</v>
      </c>
      <c r="C571">
        <v>271180.69</v>
      </c>
      <c r="D571">
        <v>5.9398688292185504</v>
      </c>
      <c r="E571">
        <v>40</v>
      </c>
      <c r="F571" t="s">
        <v>48</v>
      </c>
    </row>
    <row r="572" spans="1:6" x14ac:dyDescent="0.2">
      <c r="A572" t="s">
        <v>6</v>
      </c>
      <c r="B572">
        <v>4406.5537209650602</v>
      </c>
      <c r="C572">
        <v>149033.71</v>
      </c>
      <c r="D572">
        <v>6.3919035450299599</v>
      </c>
      <c r="E572">
        <v>40</v>
      </c>
      <c r="F572" t="s">
        <v>48</v>
      </c>
    </row>
    <row r="573" spans="1:6" x14ac:dyDescent="0.2">
      <c r="A573" t="s">
        <v>6</v>
      </c>
      <c r="B573">
        <v>4711.5908656599804</v>
      </c>
      <c r="C573">
        <v>486222.1</v>
      </c>
      <c r="D573">
        <v>6.6902697598616303</v>
      </c>
      <c r="E573">
        <v>40</v>
      </c>
      <c r="F573" t="s">
        <v>48</v>
      </c>
    </row>
    <row r="574" spans="1:6" x14ac:dyDescent="0.2">
      <c r="A574" t="s">
        <v>9</v>
      </c>
      <c r="B574">
        <v>5017.6194315520497</v>
      </c>
      <c r="C574">
        <v>362013.24</v>
      </c>
      <c r="D574">
        <v>7.0791212037881204</v>
      </c>
      <c r="E574">
        <v>40</v>
      </c>
      <c r="F574" t="s">
        <v>48</v>
      </c>
    </row>
    <row r="575" spans="1:6" x14ac:dyDescent="0.2">
      <c r="A575" t="s">
        <v>9</v>
      </c>
      <c r="B575">
        <v>5323.6406851382699</v>
      </c>
      <c r="C575">
        <v>313143.69</v>
      </c>
      <c r="D575">
        <v>7.4681177532355001</v>
      </c>
      <c r="E575">
        <v>40</v>
      </c>
      <c r="F575" t="s">
        <v>48</v>
      </c>
    </row>
    <row r="576" spans="1:6" x14ac:dyDescent="0.2">
      <c r="A576" t="s">
        <v>9</v>
      </c>
      <c r="B576">
        <v>5629.6550960145596</v>
      </c>
      <c r="C576">
        <v>133912.82</v>
      </c>
      <c r="D576">
        <v>7.8572145278930696</v>
      </c>
      <c r="E576">
        <v>40</v>
      </c>
      <c r="F576" t="s">
        <v>48</v>
      </c>
    </row>
    <row r="577" spans="1:6" x14ac:dyDescent="0.2">
      <c r="A577" t="s">
        <v>6</v>
      </c>
      <c r="B577">
        <v>5934.7105049977299</v>
      </c>
      <c r="C577">
        <v>42716.02</v>
      </c>
      <c r="D577">
        <v>8.0699638203461994</v>
      </c>
      <c r="E577">
        <v>40</v>
      </c>
      <c r="F577" t="s">
        <v>48</v>
      </c>
    </row>
    <row r="578" spans="1:6" x14ac:dyDescent="0.2">
      <c r="A578" t="s">
        <v>9</v>
      </c>
      <c r="B578">
        <v>6240.7498043425803</v>
      </c>
      <c r="C578">
        <v>25153.48</v>
      </c>
      <c r="D578">
        <v>8.3099201039155304</v>
      </c>
      <c r="E578">
        <v>40</v>
      </c>
      <c r="F578" t="s">
        <v>48</v>
      </c>
    </row>
    <row r="579" spans="1:6" x14ac:dyDescent="0.2">
      <c r="A579" t="s">
        <v>6</v>
      </c>
      <c r="B579">
        <v>3795.4839797924501</v>
      </c>
      <c r="C579">
        <v>450970.35</v>
      </c>
      <c r="D579">
        <v>5.3975297287782</v>
      </c>
      <c r="E579">
        <v>41</v>
      </c>
      <c r="F579" t="s">
        <v>49</v>
      </c>
    </row>
    <row r="580" spans="1:6" x14ac:dyDescent="0.2">
      <c r="A580" t="s">
        <v>8</v>
      </c>
      <c r="B580">
        <v>4100.51968629572</v>
      </c>
      <c r="C580">
        <v>244927.87</v>
      </c>
      <c r="D580">
        <v>5.8223578448772404</v>
      </c>
      <c r="E580">
        <v>41</v>
      </c>
      <c r="F580" t="s">
        <v>49</v>
      </c>
    </row>
    <row r="581" spans="1:6" x14ac:dyDescent="0.2">
      <c r="A581" t="s">
        <v>8</v>
      </c>
      <c r="B581">
        <v>4429.5721603747097</v>
      </c>
      <c r="C581">
        <v>413707.65</v>
      </c>
      <c r="D581">
        <v>6.7173964198112497</v>
      </c>
      <c r="E581">
        <v>41</v>
      </c>
      <c r="F581" t="s">
        <v>49</v>
      </c>
    </row>
    <row r="582" spans="1:6" x14ac:dyDescent="0.2">
      <c r="A582" t="s">
        <v>6</v>
      </c>
      <c r="B582">
        <v>4758.6303509171503</v>
      </c>
      <c r="C582">
        <v>448572.03</v>
      </c>
      <c r="D582">
        <v>7.4681177532355001</v>
      </c>
      <c r="E582">
        <v>41</v>
      </c>
      <c r="F582" t="s">
        <v>49</v>
      </c>
    </row>
    <row r="583" spans="1:6" x14ac:dyDescent="0.2">
      <c r="A583" t="s">
        <v>11</v>
      </c>
      <c r="B583">
        <v>5063.6655735146096</v>
      </c>
      <c r="C583">
        <v>654846.31000000006</v>
      </c>
      <c r="D583">
        <v>7.8572145278930696</v>
      </c>
      <c r="E583">
        <v>41</v>
      </c>
      <c r="F583" t="s">
        <v>49</v>
      </c>
    </row>
    <row r="584" spans="1:6" x14ac:dyDescent="0.2">
      <c r="A584" t="s">
        <v>10</v>
      </c>
      <c r="B584">
        <v>5408.7126300112304</v>
      </c>
      <c r="C584">
        <v>568885.98</v>
      </c>
      <c r="D584">
        <v>7.9205819860776296</v>
      </c>
      <c r="E584">
        <v>41</v>
      </c>
      <c r="F584" t="s">
        <v>49</v>
      </c>
    </row>
    <row r="585" spans="1:6" x14ac:dyDescent="0.2">
      <c r="A585" t="s">
        <v>9</v>
      </c>
      <c r="B585">
        <v>5714.7507117756404</v>
      </c>
      <c r="C585">
        <v>453363.06</v>
      </c>
      <c r="D585">
        <v>8.2510596112092305</v>
      </c>
      <c r="E585">
        <v>41</v>
      </c>
      <c r="F585" t="s">
        <v>49</v>
      </c>
    </row>
    <row r="586" spans="1:6" x14ac:dyDescent="0.2">
      <c r="A586" t="s">
        <v>6</v>
      </c>
      <c r="B586">
        <v>6019.7878839363902</v>
      </c>
      <c r="C586">
        <v>308118.52</v>
      </c>
      <c r="D586">
        <v>8.4004820779641491</v>
      </c>
      <c r="E586">
        <v>41</v>
      </c>
      <c r="F586" t="s">
        <v>49</v>
      </c>
    </row>
    <row r="587" spans="1:6" x14ac:dyDescent="0.2">
      <c r="A587" t="s">
        <v>9</v>
      </c>
      <c r="B587">
        <v>6325.8171443862402</v>
      </c>
      <c r="C587">
        <v>281288.34000000003</v>
      </c>
      <c r="D587">
        <v>8.7899990613937398</v>
      </c>
      <c r="E587">
        <v>41</v>
      </c>
      <c r="F587" t="s">
        <v>49</v>
      </c>
    </row>
    <row r="588" spans="1:6" x14ac:dyDescent="0.2">
      <c r="A588" t="s">
        <v>10</v>
      </c>
      <c r="B588">
        <v>6670.87074212064</v>
      </c>
      <c r="C588">
        <v>207554.78</v>
      </c>
      <c r="D588">
        <v>9.0302120701154092</v>
      </c>
      <c r="E588">
        <v>41</v>
      </c>
      <c r="F588" t="s">
        <v>49</v>
      </c>
    </row>
    <row r="589" spans="1:6" x14ac:dyDescent="0.2">
      <c r="A589" t="s">
        <v>10</v>
      </c>
      <c r="B589">
        <v>7015.9232683390501</v>
      </c>
      <c r="C589">
        <v>408223.12</v>
      </c>
      <c r="D589">
        <v>9.2976035789330798</v>
      </c>
      <c r="E589">
        <v>41</v>
      </c>
      <c r="F589" t="s">
        <v>49</v>
      </c>
    </row>
    <row r="590" spans="1:6" x14ac:dyDescent="0.2">
      <c r="A590" t="s">
        <v>6</v>
      </c>
      <c r="B590">
        <v>7320.9462043824497</v>
      </c>
      <c r="C590">
        <v>271325.99</v>
      </c>
      <c r="D590">
        <v>9.4788820937951392</v>
      </c>
      <c r="E590">
        <v>41</v>
      </c>
      <c r="F590" t="s">
        <v>49</v>
      </c>
    </row>
    <row r="591" spans="1:6" x14ac:dyDescent="0.2">
      <c r="A591" t="s">
        <v>9</v>
      </c>
      <c r="B591">
        <v>2195.2759113175698</v>
      </c>
      <c r="C591">
        <v>145992.57</v>
      </c>
      <c r="D591">
        <v>0.80731301066080696</v>
      </c>
      <c r="E591">
        <v>42</v>
      </c>
      <c r="F591" t="s">
        <v>50</v>
      </c>
    </row>
    <row r="592" spans="1:6" x14ac:dyDescent="0.2">
      <c r="A592" t="s">
        <v>8</v>
      </c>
      <c r="B592">
        <v>2501.3044183496399</v>
      </c>
      <c r="C592">
        <v>226418.44</v>
      </c>
      <c r="D592">
        <v>0.89764954404830899</v>
      </c>
      <c r="E592">
        <v>42</v>
      </c>
      <c r="F592" t="s">
        <v>50</v>
      </c>
    </row>
    <row r="593" spans="1:6" x14ac:dyDescent="0.2">
      <c r="A593" t="s">
        <v>8</v>
      </c>
      <c r="B593">
        <v>2830.35732703746</v>
      </c>
      <c r="C593">
        <v>351655.02</v>
      </c>
      <c r="D593">
        <v>1.2003145213604001</v>
      </c>
      <c r="E593">
        <v>42</v>
      </c>
      <c r="F593" t="s">
        <v>50</v>
      </c>
    </row>
    <row r="594" spans="1:6" x14ac:dyDescent="0.2">
      <c r="A594" t="s">
        <v>9</v>
      </c>
      <c r="B594">
        <v>3159.4073347589001</v>
      </c>
      <c r="C594">
        <v>304491.15999999997</v>
      </c>
      <c r="D594">
        <v>2.8492029364585898</v>
      </c>
      <c r="E594">
        <v>42</v>
      </c>
      <c r="F594" t="s">
        <v>50</v>
      </c>
    </row>
    <row r="595" spans="1:6" x14ac:dyDescent="0.2">
      <c r="A595" t="s">
        <v>11</v>
      </c>
      <c r="B595">
        <v>3465.4384717623002</v>
      </c>
      <c r="C595">
        <v>642845</v>
      </c>
      <c r="D595">
        <v>4.0509121612389896</v>
      </c>
      <c r="E595">
        <v>42</v>
      </c>
      <c r="F595" t="s">
        <v>50</v>
      </c>
    </row>
    <row r="596" spans="1:6" x14ac:dyDescent="0.2">
      <c r="A596" t="s">
        <v>10</v>
      </c>
      <c r="B596">
        <v>3810.4874237938502</v>
      </c>
      <c r="C596">
        <v>488142.9</v>
      </c>
      <c r="D596">
        <v>4.8281210438092499</v>
      </c>
      <c r="E596">
        <v>42</v>
      </c>
      <c r="F596" t="s">
        <v>50</v>
      </c>
    </row>
    <row r="597" spans="1:6" x14ac:dyDescent="0.2">
      <c r="A597" t="s">
        <v>8</v>
      </c>
      <c r="B597">
        <v>4139.5402339684997</v>
      </c>
      <c r="C597">
        <v>473128.04</v>
      </c>
      <c r="D597">
        <v>5.8494748866240203</v>
      </c>
      <c r="E597">
        <v>42</v>
      </c>
      <c r="F597" t="s">
        <v>50</v>
      </c>
    </row>
    <row r="598" spans="1:6" x14ac:dyDescent="0.2">
      <c r="A598" t="s">
        <v>8</v>
      </c>
      <c r="B598">
        <v>1897.2168969408999</v>
      </c>
      <c r="C598">
        <v>227645.08</v>
      </c>
      <c r="D598">
        <v>0.78020909385681203</v>
      </c>
      <c r="E598">
        <v>43</v>
      </c>
      <c r="F598" t="s">
        <v>51</v>
      </c>
    </row>
    <row r="599" spans="1:6" x14ac:dyDescent="0.2">
      <c r="A599" t="s">
        <v>6</v>
      </c>
      <c r="B599">
        <v>2226.2694964708999</v>
      </c>
      <c r="C599">
        <v>471487.52</v>
      </c>
      <c r="D599">
        <v>1.07834287838936</v>
      </c>
      <c r="E599">
        <v>43</v>
      </c>
      <c r="F599" t="s">
        <v>51</v>
      </c>
    </row>
    <row r="600" spans="1:6" x14ac:dyDescent="0.2">
      <c r="A600" t="s">
        <v>10</v>
      </c>
      <c r="B600">
        <v>2531.3197323496902</v>
      </c>
      <c r="C600">
        <v>453680.14</v>
      </c>
      <c r="D600">
        <v>1.10996682004929</v>
      </c>
      <c r="E600">
        <v>43</v>
      </c>
      <c r="F600" t="s">
        <v>51</v>
      </c>
    </row>
    <row r="601" spans="1:6" x14ac:dyDescent="0.2">
      <c r="A601" t="s">
        <v>10</v>
      </c>
      <c r="B601">
        <v>2876.3710787528498</v>
      </c>
      <c r="C601">
        <v>337844.93</v>
      </c>
      <c r="D601">
        <v>1.67917446252505</v>
      </c>
      <c r="E601">
        <v>43</v>
      </c>
      <c r="F601" t="s">
        <v>51</v>
      </c>
    </row>
    <row r="602" spans="1:6" x14ac:dyDescent="0.2">
      <c r="A602" t="s">
        <v>8</v>
      </c>
      <c r="B602">
        <v>3221.4131553776201</v>
      </c>
      <c r="C602">
        <v>411439.19</v>
      </c>
      <c r="D602">
        <v>3.0027927116235098</v>
      </c>
      <c r="E602">
        <v>43</v>
      </c>
      <c r="F602" t="s">
        <v>51</v>
      </c>
    </row>
    <row r="603" spans="1:6" x14ac:dyDescent="0.2">
      <c r="A603" t="s">
        <v>9</v>
      </c>
      <c r="B603">
        <v>3550.4601872888002</v>
      </c>
      <c r="C603">
        <v>284599.5</v>
      </c>
      <c r="D603">
        <v>4.5027640199343404</v>
      </c>
      <c r="E603">
        <v>43</v>
      </c>
      <c r="F603" t="s">
        <v>51</v>
      </c>
    </row>
    <row r="604" spans="1:6" x14ac:dyDescent="0.2">
      <c r="A604" t="s">
        <v>10</v>
      </c>
      <c r="B604">
        <v>3856.4951653931698</v>
      </c>
      <c r="C604">
        <v>361812.92</v>
      </c>
      <c r="D604">
        <v>5.2529161369482704</v>
      </c>
      <c r="E604">
        <v>43</v>
      </c>
      <c r="F604" t="s">
        <v>51</v>
      </c>
    </row>
    <row r="605" spans="1:6" x14ac:dyDescent="0.2">
      <c r="A605" t="s">
        <v>9</v>
      </c>
      <c r="B605">
        <v>4201.5527426403096</v>
      </c>
      <c r="C605">
        <v>256702.43</v>
      </c>
      <c r="D605">
        <v>6.0031435604572296</v>
      </c>
      <c r="E605">
        <v>43</v>
      </c>
      <c r="F605" t="s">
        <v>51</v>
      </c>
    </row>
    <row r="606" spans="1:6" x14ac:dyDescent="0.2">
      <c r="A606" t="s">
        <v>6</v>
      </c>
      <c r="B606">
        <v>4507.6045755820596</v>
      </c>
      <c r="C606">
        <v>598095.89</v>
      </c>
      <c r="D606">
        <v>6.5727330104192099</v>
      </c>
      <c r="E606">
        <v>43</v>
      </c>
      <c r="F606" t="s">
        <v>51</v>
      </c>
    </row>
    <row r="607" spans="1:6" x14ac:dyDescent="0.2">
      <c r="A607" t="s">
        <v>10</v>
      </c>
      <c r="B607">
        <v>4812.6219888536698</v>
      </c>
      <c r="C607">
        <v>449702.58</v>
      </c>
      <c r="D607">
        <v>6.8982393697579703</v>
      </c>
      <c r="E607">
        <v>43</v>
      </c>
      <c r="F607" t="s">
        <v>51</v>
      </c>
    </row>
    <row r="608" spans="1:6" x14ac:dyDescent="0.2">
      <c r="A608" t="s">
        <v>11</v>
      </c>
      <c r="B608">
        <v>5157.6956618391496</v>
      </c>
      <c r="C608">
        <v>641626.78</v>
      </c>
      <c r="D608">
        <v>7.3776465530872297</v>
      </c>
      <c r="E608">
        <v>43</v>
      </c>
      <c r="F608" t="s">
        <v>51</v>
      </c>
    </row>
    <row r="609" spans="1:6" x14ac:dyDescent="0.2">
      <c r="A609" t="s">
        <v>9</v>
      </c>
      <c r="B609">
        <v>5463.7399166609503</v>
      </c>
      <c r="C609">
        <v>601822.86</v>
      </c>
      <c r="D609">
        <v>7.7395614460786204</v>
      </c>
      <c r="E609">
        <v>43</v>
      </c>
      <c r="F609" t="s">
        <v>51</v>
      </c>
    </row>
    <row r="610" spans="1:6" x14ac:dyDescent="0.2">
      <c r="A610" t="s">
        <v>10</v>
      </c>
      <c r="B610">
        <v>5808.8092987516302</v>
      </c>
      <c r="C610">
        <v>75146.11</v>
      </c>
      <c r="D610">
        <v>9.5106034612337709</v>
      </c>
      <c r="E610">
        <v>43</v>
      </c>
      <c r="F610" t="s">
        <v>51</v>
      </c>
    </row>
    <row r="611" spans="1:6" x14ac:dyDescent="0.2">
      <c r="A611" t="s">
        <v>8</v>
      </c>
      <c r="B611">
        <v>6137.8696157096201</v>
      </c>
      <c r="C611">
        <v>16618.8</v>
      </c>
      <c r="D611">
        <v>9.6873567954381308</v>
      </c>
      <c r="E611">
        <v>43</v>
      </c>
      <c r="F611" t="s">
        <v>51</v>
      </c>
    </row>
    <row r="612" spans="1:6" x14ac:dyDescent="0.2">
      <c r="A612" t="s">
        <v>9</v>
      </c>
      <c r="B612">
        <v>6443.8822948943898</v>
      </c>
      <c r="C612">
        <v>272449.32</v>
      </c>
      <c r="D612">
        <v>8.7899990613937398</v>
      </c>
      <c r="E612">
        <v>43</v>
      </c>
      <c r="F612" t="s">
        <v>51</v>
      </c>
    </row>
    <row r="613" spans="1:6" x14ac:dyDescent="0.2">
      <c r="A613" t="s">
        <v>10</v>
      </c>
      <c r="B613">
        <v>2016.30131322231</v>
      </c>
      <c r="C613">
        <v>69222.679999999993</v>
      </c>
      <c r="D613">
        <v>0.87054953532218904</v>
      </c>
      <c r="E613">
        <v>44</v>
      </c>
      <c r="F613" t="s">
        <v>52</v>
      </c>
    </row>
    <row r="614" spans="1:6" x14ac:dyDescent="0.2">
      <c r="A614" t="s">
        <v>9</v>
      </c>
      <c r="B614">
        <v>2361.3474702114299</v>
      </c>
      <c r="C614">
        <v>85820.41</v>
      </c>
      <c r="D614">
        <v>1.0196155285517401</v>
      </c>
      <c r="E614">
        <v>44</v>
      </c>
      <c r="F614" t="s">
        <v>52</v>
      </c>
    </row>
    <row r="615" spans="1:6" x14ac:dyDescent="0.2">
      <c r="A615" t="s">
        <v>10</v>
      </c>
      <c r="B615">
        <v>2667.3770639368299</v>
      </c>
      <c r="C615">
        <v>236660.13</v>
      </c>
      <c r="D615">
        <v>1.38101222074827</v>
      </c>
      <c r="E615">
        <v>44</v>
      </c>
      <c r="F615" t="s">
        <v>52</v>
      </c>
    </row>
    <row r="616" spans="1:6" x14ac:dyDescent="0.2">
      <c r="A616" t="s">
        <v>9</v>
      </c>
      <c r="B616">
        <v>3012.4272162205698</v>
      </c>
      <c r="C616">
        <v>75655.42</v>
      </c>
      <c r="D616">
        <v>2.3071085945447298</v>
      </c>
      <c r="E616">
        <v>44</v>
      </c>
      <c r="F616" t="s">
        <v>52</v>
      </c>
    </row>
    <row r="617" spans="1:6" x14ac:dyDescent="0.2">
      <c r="A617" t="s">
        <v>8</v>
      </c>
      <c r="B617">
        <v>3318.4557694454602</v>
      </c>
      <c r="C617">
        <v>342287.98</v>
      </c>
      <c r="D617">
        <v>3.6623427943070701</v>
      </c>
      <c r="E617">
        <v>44</v>
      </c>
      <c r="F617" t="s">
        <v>52</v>
      </c>
    </row>
    <row r="618" spans="1:6" x14ac:dyDescent="0.2">
      <c r="A618" t="s">
        <v>9</v>
      </c>
      <c r="B618">
        <v>3647.5069053574598</v>
      </c>
      <c r="C618">
        <v>409635.25</v>
      </c>
      <c r="D618">
        <v>5.0088751530329398</v>
      </c>
      <c r="E618">
        <v>44</v>
      </c>
      <c r="F618" t="s">
        <v>52</v>
      </c>
    </row>
    <row r="619" spans="1:6" x14ac:dyDescent="0.2">
      <c r="A619" t="s">
        <v>8</v>
      </c>
      <c r="B619">
        <v>3953.5402889709599</v>
      </c>
      <c r="C619">
        <v>308305.78999999998</v>
      </c>
      <c r="D619">
        <v>5.8223578448772404</v>
      </c>
      <c r="E619">
        <v>44</v>
      </c>
      <c r="F619" t="s">
        <v>52</v>
      </c>
    </row>
    <row r="620" spans="1:6" x14ac:dyDescent="0.2">
      <c r="A620" t="s">
        <v>11</v>
      </c>
      <c r="B620">
        <v>4282.5946339904503</v>
      </c>
      <c r="C620">
        <v>639689.61</v>
      </c>
      <c r="D620">
        <v>6.3602637445608803</v>
      </c>
      <c r="E620">
        <v>44</v>
      </c>
      <c r="F620" t="s">
        <v>52</v>
      </c>
    </row>
    <row r="621" spans="1:6" x14ac:dyDescent="0.2">
      <c r="A621" t="s">
        <v>10</v>
      </c>
      <c r="B621">
        <v>4627.6346565963904</v>
      </c>
      <c r="C621">
        <v>135949.39000000001</v>
      </c>
      <c r="D621">
        <v>7.2871672606150302</v>
      </c>
      <c r="E621">
        <v>44</v>
      </c>
      <c r="F621" t="s">
        <v>52</v>
      </c>
    </row>
    <row r="622" spans="1:6" x14ac:dyDescent="0.2">
      <c r="A622" t="s">
        <v>6</v>
      </c>
      <c r="B622">
        <v>2870.3689998456498</v>
      </c>
      <c r="C622">
        <v>296931.13</v>
      </c>
      <c r="D622">
        <v>1.34938816981316</v>
      </c>
      <c r="E622">
        <v>45</v>
      </c>
      <c r="F622" t="s">
        <v>53</v>
      </c>
    </row>
    <row r="623" spans="1:6" x14ac:dyDescent="0.2">
      <c r="A623" t="s">
        <v>8</v>
      </c>
      <c r="B623">
        <v>3175.4083896329698</v>
      </c>
      <c r="C623">
        <v>425612.63</v>
      </c>
      <c r="D623">
        <v>2.2167643761316902</v>
      </c>
      <c r="E623">
        <v>45</v>
      </c>
      <c r="F623" t="s">
        <v>53</v>
      </c>
    </row>
    <row r="624" spans="1:6" x14ac:dyDescent="0.2">
      <c r="A624" t="s">
        <v>11</v>
      </c>
      <c r="B624">
        <v>3504.4597517524398</v>
      </c>
      <c r="C624">
        <v>635538.02</v>
      </c>
      <c r="D624">
        <v>3.9605501786549899</v>
      </c>
      <c r="E624">
        <v>45</v>
      </c>
      <c r="F624" t="s">
        <v>53</v>
      </c>
    </row>
    <row r="625" spans="1:6" x14ac:dyDescent="0.2">
      <c r="A625" t="s">
        <v>8</v>
      </c>
      <c r="B625">
        <v>3833.50121479891</v>
      </c>
      <c r="C625">
        <v>435896.12</v>
      </c>
      <c r="D625">
        <v>5.1308935439268701</v>
      </c>
      <c r="E625">
        <v>45</v>
      </c>
      <c r="F625" t="s">
        <v>53</v>
      </c>
    </row>
    <row r="626" spans="1:6" x14ac:dyDescent="0.2">
      <c r="A626" t="s">
        <v>10</v>
      </c>
      <c r="B626">
        <v>4178.5699960156198</v>
      </c>
      <c r="C626">
        <v>123643.63</v>
      </c>
      <c r="D626">
        <v>5.7319597537994396</v>
      </c>
      <c r="E626">
        <v>45</v>
      </c>
      <c r="F626" t="s">
        <v>53</v>
      </c>
    </row>
    <row r="627" spans="1:6" x14ac:dyDescent="0.2">
      <c r="A627" t="s">
        <v>6</v>
      </c>
      <c r="B627">
        <v>4483.5834167693802</v>
      </c>
      <c r="C627">
        <v>101282.77</v>
      </c>
      <c r="D627">
        <v>6.0031435604572296</v>
      </c>
      <c r="E627">
        <v>45</v>
      </c>
      <c r="F627" t="s">
        <v>53</v>
      </c>
    </row>
    <row r="628" spans="1:6" x14ac:dyDescent="0.2">
      <c r="A628" t="s">
        <v>6</v>
      </c>
      <c r="B628">
        <v>2040.31105859388</v>
      </c>
      <c r="C628">
        <v>179533.06</v>
      </c>
      <c r="D628">
        <v>1.0196155285517401</v>
      </c>
      <c r="E628">
        <v>46</v>
      </c>
      <c r="F628" t="s">
        <v>54</v>
      </c>
    </row>
    <row r="629" spans="1:6" x14ac:dyDescent="0.2">
      <c r="A629" t="s">
        <v>8</v>
      </c>
      <c r="B629">
        <v>2345.35634018978</v>
      </c>
      <c r="C629">
        <v>246600.49</v>
      </c>
      <c r="D629">
        <v>1.1686931864102701</v>
      </c>
      <c r="E629">
        <v>46</v>
      </c>
      <c r="F629" t="s">
        <v>54</v>
      </c>
    </row>
    <row r="630" spans="1:6" x14ac:dyDescent="0.2">
      <c r="A630" t="s">
        <v>10</v>
      </c>
      <c r="B630">
        <v>2674.4051350059699</v>
      </c>
      <c r="C630">
        <v>231032.93</v>
      </c>
      <c r="D630">
        <v>2.2800053115367902</v>
      </c>
      <c r="E630">
        <v>46</v>
      </c>
      <c r="F630" t="s">
        <v>54</v>
      </c>
    </row>
    <row r="631" spans="1:6" x14ac:dyDescent="0.2">
      <c r="A631" t="s">
        <v>9</v>
      </c>
      <c r="B631">
        <v>3019.4549137857798</v>
      </c>
      <c r="C631">
        <v>172588.67</v>
      </c>
      <c r="D631">
        <v>4.1096437529405003</v>
      </c>
      <c r="E631">
        <v>46</v>
      </c>
      <c r="F631" t="s">
        <v>54</v>
      </c>
    </row>
    <row r="632" spans="1:6" x14ac:dyDescent="0.2">
      <c r="A632" t="s">
        <v>6</v>
      </c>
      <c r="B632">
        <v>3325.4861941496501</v>
      </c>
      <c r="C632">
        <v>478583.21</v>
      </c>
      <c r="D632">
        <v>4.85975264466604</v>
      </c>
      <c r="E632">
        <v>46</v>
      </c>
      <c r="F632" t="s">
        <v>54</v>
      </c>
    </row>
    <row r="633" spans="1:6" x14ac:dyDescent="0.2">
      <c r="A633" t="s">
        <v>11</v>
      </c>
      <c r="B633">
        <v>3630.5236891115901</v>
      </c>
      <c r="C633">
        <v>633818.37</v>
      </c>
      <c r="D633">
        <v>5.1308935439268701</v>
      </c>
      <c r="E633">
        <v>46</v>
      </c>
      <c r="F633" t="s">
        <v>54</v>
      </c>
    </row>
    <row r="634" spans="1:6" x14ac:dyDescent="0.2">
      <c r="A634" t="s">
        <v>8</v>
      </c>
      <c r="B634">
        <v>3959.5660039518698</v>
      </c>
      <c r="C634">
        <v>174327.42</v>
      </c>
      <c r="D634">
        <v>6.0302656864801998</v>
      </c>
      <c r="E634">
        <v>46</v>
      </c>
      <c r="F634" t="s">
        <v>54</v>
      </c>
    </row>
    <row r="635" spans="1:6" x14ac:dyDescent="0.2">
      <c r="A635" t="s">
        <v>8</v>
      </c>
      <c r="B635">
        <v>4288.6313189729499</v>
      </c>
      <c r="C635">
        <v>234300.5</v>
      </c>
      <c r="D635">
        <v>7.1967074032306702</v>
      </c>
      <c r="E635">
        <v>46</v>
      </c>
      <c r="F635" t="s">
        <v>54</v>
      </c>
    </row>
    <row r="636" spans="1:6" x14ac:dyDescent="0.2">
      <c r="A636" t="s">
        <v>9</v>
      </c>
      <c r="B636">
        <v>4594.6659224764699</v>
      </c>
      <c r="C636">
        <v>445068.48</v>
      </c>
      <c r="D636">
        <v>7.4093134279727897</v>
      </c>
      <c r="E636">
        <v>46</v>
      </c>
      <c r="F636" t="s">
        <v>54</v>
      </c>
    </row>
    <row r="637" spans="1:6" x14ac:dyDescent="0.2">
      <c r="A637" t="s">
        <v>10</v>
      </c>
      <c r="B637">
        <v>4939.7210424959203</v>
      </c>
      <c r="C637">
        <v>506989.56</v>
      </c>
      <c r="D637">
        <v>7.7667061543146803</v>
      </c>
      <c r="E637">
        <v>46</v>
      </c>
      <c r="F637" t="s">
        <v>54</v>
      </c>
    </row>
    <row r="638" spans="1:6" x14ac:dyDescent="0.2">
      <c r="A638" t="s">
        <v>10</v>
      </c>
      <c r="B638">
        <v>5284.7735995584699</v>
      </c>
      <c r="C638">
        <v>250181.73</v>
      </c>
      <c r="D638">
        <v>8.1288176512400305</v>
      </c>
      <c r="E638">
        <v>46</v>
      </c>
      <c r="F638" t="s">
        <v>54</v>
      </c>
    </row>
    <row r="639" spans="1:6" x14ac:dyDescent="0.2">
      <c r="A639" t="s">
        <v>6</v>
      </c>
      <c r="B639">
        <v>5589.8171677043802</v>
      </c>
      <c r="C639">
        <v>383989.98</v>
      </c>
      <c r="D639">
        <v>8.3733119284788806</v>
      </c>
      <c r="E639">
        <v>46</v>
      </c>
      <c r="F639" t="s">
        <v>54</v>
      </c>
    </row>
    <row r="640" spans="1:6" x14ac:dyDescent="0.2">
      <c r="A640" t="s">
        <v>8</v>
      </c>
      <c r="B640">
        <v>5918.8665157410296</v>
      </c>
      <c r="C640">
        <v>456668.55</v>
      </c>
      <c r="D640">
        <v>8.9078380798975605</v>
      </c>
      <c r="E640">
        <v>46</v>
      </c>
      <c r="F640" t="s">
        <v>54</v>
      </c>
    </row>
    <row r="641" spans="1:6" x14ac:dyDescent="0.2">
      <c r="A641" t="s">
        <v>6</v>
      </c>
      <c r="B641">
        <v>6223.8835970026503</v>
      </c>
      <c r="C641">
        <v>110979.41</v>
      </c>
      <c r="D641">
        <v>9.0302120701154092</v>
      </c>
      <c r="E641">
        <v>46</v>
      </c>
      <c r="F641" t="s">
        <v>54</v>
      </c>
    </row>
    <row r="642" spans="1:6" x14ac:dyDescent="0.2">
      <c r="A642" t="s">
        <v>9</v>
      </c>
      <c r="B642">
        <v>6529.9307033529803</v>
      </c>
      <c r="C642">
        <v>223124.85</v>
      </c>
      <c r="D642">
        <v>9.2976035789330798</v>
      </c>
      <c r="E642">
        <v>46</v>
      </c>
      <c r="F642" t="s">
        <v>54</v>
      </c>
    </row>
    <row r="643" spans="1:6" x14ac:dyDescent="0.2">
      <c r="A643" t="s">
        <v>9</v>
      </c>
      <c r="B643">
        <v>3546.44802850625</v>
      </c>
      <c r="C643">
        <v>439369.98</v>
      </c>
      <c r="D643">
        <v>4.6473744447708096</v>
      </c>
      <c r="E643">
        <v>48</v>
      </c>
      <c r="F643" t="s">
        <v>55</v>
      </c>
    </row>
    <row r="644" spans="1:6" x14ac:dyDescent="0.2">
      <c r="A644" t="s">
        <v>6</v>
      </c>
      <c r="B644">
        <v>3852.47676694759</v>
      </c>
      <c r="C644">
        <v>290961.01</v>
      </c>
      <c r="D644">
        <v>5.3975297287782</v>
      </c>
      <c r="E644">
        <v>48</v>
      </c>
      <c r="F644" t="s">
        <v>55</v>
      </c>
    </row>
    <row r="645" spans="1:6" x14ac:dyDescent="0.2">
      <c r="A645" t="s">
        <v>11</v>
      </c>
      <c r="B645">
        <v>4157.50877205494</v>
      </c>
      <c r="C645">
        <v>596251.01</v>
      </c>
      <c r="D645">
        <v>5.9127516781965896</v>
      </c>
      <c r="E645">
        <v>48</v>
      </c>
      <c r="F645" t="s">
        <v>55</v>
      </c>
    </row>
    <row r="646" spans="1:6" x14ac:dyDescent="0.2">
      <c r="A646" t="s">
        <v>10</v>
      </c>
      <c r="B646">
        <v>4502.5559277012098</v>
      </c>
      <c r="C646">
        <v>501361</v>
      </c>
      <c r="D646">
        <v>6.4506761785030404</v>
      </c>
      <c r="E646">
        <v>48</v>
      </c>
      <c r="F646" t="s">
        <v>55</v>
      </c>
    </row>
    <row r="647" spans="1:6" x14ac:dyDescent="0.2">
      <c r="A647" t="s">
        <v>10</v>
      </c>
      <c r="B647">
        <v>4847.6079840697303</v>
      </c>
      <c r="C647">
        <v>454877.04</v>
      </c>
      <c r="D647">
        <v>6.8078124936103803</v>
      </c>
      <c r="E647">
        <v>48</v>
      </c>
      <c r="F647" t="s">
        <v>55</v>
      </c>
    </row>
    <row r="648" spans="1:6" x14ac:dyDescent="0.2">
      <c r="A648" t="s">
        <v>6</v>
      </c>
      <c r="B648">
        <v>5152.6536379662602</v>
      </c>
      <c r="C648">
        <v>425768.27</v>
      </c>
      <c r="D648">
        <v>7.1967074032306702</v>
      </c>
      <c r="E648">
        <v>48</v>
      </c>
      <c r="F648" t="s">
        <v>55</v>
      </c>
    </row>
    <row r="649" spans="1:6" x14ac:dyDescent="0.2">
      <c r="A649" t="s">
        <v>10</v>
      </c>
      <c r="B649">
        <v>5173.7284987295798</v>
      </c>
      <c r="C649">
        <v>255430.31</v>
      </c>
      <c r="D649">
        <v>8.4276596522013296</v>
      </c>
      <c r="E649">
        <v>49</v>
      </c>
      <c r="F649" t="s">
        <v>56</v>
      </c>
    </row>
    <row r="650" spans="1:6" x14ac:dyDescent="0.2">
      <c r="A650" t="s">
        <v>9</v>
      </c>
      <c r="B650">
        <v>5518.7890749278904</v>
      </c>
      <c r="C650">
        <v>373538.82</v>
      </c>
      <c r="D650">
        <v>8.8171853279749506</v>
      </c>
      <c r="E650">
        <v>49</v>
      </c>
      <c r="F650" t="s">
        <v>56</v>
      </c>
    </row>
    <row r="651" spans="1:6" x14ac:dyDescent="0.2">
      <c r="A651" t="s">
        <v>9</v>
      </c>
      <c r="B651">
        <v>5824.8119785937697</v>
      </c>
      <c r="C651">
        <v>441900.31</v>
      </c>
      <c r="D651">
        <v>9.0891361212412498</v>
      </c>
      <c r="E651">
        <v>49</v>
      </c>
      <c r="F651" t="s">
        <v>56</v>
      </c>
    </row>
    <row r="652" spans="1:6" x14ac:dyDescent="0.2">
      <c r="A652" t="s">
        <v>11</v>
      </c>
      <c r="B652">
        <v>6130.8468378781899</v>
      </c>
      <c r="C652">
        <v>588362.81999999995</v>
      </c>
      <c r="D652">
        <v>9.3610533849080397</v>
      </c>
      <c r="E652">
        <v>49</v>
      </c>
      <c r="F652" t="s">
        <v>56</v>
      </c>
    </row>
    <row r="653" spans="1:6" x14ac:dyDescent="0.2">
      <c r="A653" t="s">
        <v>10</v>
      </c>
      <c r="B653">
        <v>6475.8809667926498</v>
      </c>
      <c r="C653">
        <v>310503.67</v>
      </c>
      <c r="D653">
        <v>9.6601674453099609</v>
      </c>
      <c r="E653">
        <v>49</v>
      </c>
      <c r="F653" t="s">
        <v>56</v>
      </c>
    </row>
    <row r="654" spans="1:6" x14ac:dyDescent="0.2">
      <c r="A654" t="s">
        <v>10</v>
      </c>
      <c r="B654">
        <v>6820.9495483636401</v>
      </c>
      <c r="C654">
        <v>87815.1</v>
      </c>
      <c r="D654">
        <v>9.9004626706918106</v>
      </c>
      <c r="E654">
        <v>49</v>
      </c>
      <c r="F654" t="s">
        <v>56</v>
      </c>
    </row>
    <row r="655" spans="1:6" x14ac:dyDescent="0.2">
      <c r="A655" t="s">
        <v>9</v>
      </c>
      <c r="B655">
        <v>7126.9199324617903</v>
      </c>
      <c r="C655">
        <v>49929.5</v>
      </c>
      <c r="D655">
        <v>9.0891361212412498</v>
      </c>
      <c r="E655">
        <v>49</v>
      </c>
      <c r="F655" t="s">
        <v>56</v>
      </c>
    </row>
    <row r="656" spans="1:6" x14ac:dyDescent="0.2">
      <c r="A656" t="s">
        <v>8</v>
      </c>
      <c r="B656">
        <v>7455.9660805549402</v>
      </c>
      <c r="C656">
        <v>18722.13</v>
      </c>
      <c r="D656">
        <v>9.5695250208854699</v>
      </c>
      <c r="E656">
        <v>49</v>
      </c>
      <c r="F656" t="s">
        <v>56</v>
      </c>
    </row>
    <row r="657" spans="1:6" x14ac:dyDescent="0.2">
      <c r="A657" t="s">
        <v>8</v>
      </c>
      <c r="B657">
        <v>2627.3694026287699</v>
      </c>
      <c r="C657">
        <v>72669.33</v>
      </c>
      <c r="D657">
        <v>1.1686931864102701</v>
      </c>
      <c r="E657">
        <v>51</v>
      </c>
      <c r="F657" t="s">
        <v>57</v>
      </c>
    </row>
    <row r="658" spans="1:6" x14ac:dyDescent="0.2">
      <c r="A658" t="s">
        <v>8</v>
      </c>
      <c r="B658">
        <v>2956.4237234561001</v>
      </c>
      <c r="C658">
        <v>195762.75</v>
      </c>
      <c r="D658">
        <v>2.8492029364585898</v>
      </c>
      <c r="E658">
        <v>51</v>
      </c>
      <c r="F658" t="s">
        <v>57</v>
      </c>
    </row>
    <row r="659" spans="1:6" x14ac:dyDescent="0.2">
      <c r="A659" t="s">
        <v>8</v>
      </c>
      <c r="B659">
        <v>3285.4727910884699</v>
      </c>
      <c r="C659">
        <v>330618.95</v>
      </c>
      <c r="D659">
        <v>4.2316353773752802</v>
      </c>
      <c r="E659">
        <v>51</v>
      </c>
      <c r="F659" t="s">
        <v>57</v>
      </c>
    </row>
    <row r="660" spans="1:6" x14ac:dyDescent="0.2">
      <c r="A660" t="s">
        <v>6</v>
      </c>
      <c r="B660">
        <v>3614.5212871322501</v>
      </c>
      <c r="C660">
        <v>484453.61</v>
      </c>
      <c r="D660">
        <v>5.4291594202995297</v>
      </c>
      <c r="E660">
        <v>51</v>
      </c>
      <c r="F660" t="s">
        <v>57</v>
      </c>
    </row>
    <row r="661" spans="1:6" x14ac:dyDescent="0.2">
      <c r="A661" t="s">
        <v>10</v>
      </c>
      <c r="B661">
        <v>3919.5419650971498</v>
      </c>
      <c r="C661">
        <v>147528.32000000001</v>
      </c>
      <c r="D661">
        <v>5.8223578448772404</v>
      </c>
      <c r="E661">
        <v>51</v>
      </c>
      <c r="F661" t="s">
        <v>57</v>
      </c>
    </row>
    <row r="662" spans="1:6" x14ac:dyDescent="0.2">
      <c r="A662" t="s">
        <v>9</v>
      </c>
      <c r="B662">
        <v>4264.5909736764397</v>
      </c>
      <c r="C662">
        <v>122666.3</v>
      </c>
      <c r="D662">
        <v>6.3602637445608803</v>
      </c>
      <c r="E662">
        <v>51</v>
      </c>
      <c r="F662" t="s">
        <v>57</v>
      </c>
    </row>
    <row r="663" spans="1:6" x14ac:dyDescent="0.2">
      <c r="A663" t="s">
        <v>11</v>
      </c>
      <c r="B663">
        <v>4570.6486999654499</v>
      </c>
      <c r="C663">
        <v>578842.88</v>
      </c>
      <c r="D663">
        <v>6.96154171980222</v>
      </c>
      <c r="E663">
        <v>51</v>
      </c>
      <c r="F663" t="s">
        <v>57</v>
      </c>
    </row>
    <row r="664" spans="1:6" x14ac:dyDescent="0.2">
      <c r="A664" t="s">
        <v>6</v>
      </c>
      <c r="B664">
        <v>4875.6606071141096</v>
      </c>
      <c r="C664">
        <v>502325.53</v>
      </c>
      <c r="D664">
        <v>7.2600274618148797</v>
      </c>
      <c r="E664">
        <v>51</v>
      </c>
      <c r="F664" t="s">
        <v>57</v>
      </c>
    </row>
    <row r="665" spans="1:6" x14ac:dyDescent="0.2">
      <c r="A665" t="s">
        <v>6</v>
      </c>
      <c r="B665">
        <v>5180.6718115804697</v>
      </c>
      <c r="C665">
        <v>106843.9</v>
      </c>
      <c r="D665">
        <v>7.3776465530872297</v>
      </c>
      <c r="E665">
        <v>51</v>
      </c>
      <c r="F665" t="s">
        <v>57</v>
      </c>
    </row>
    <row r="666" spans="1:6" x14ac:dyDescent="0.2">
      <c r="A666" t="s">
        <v>9</v>
      </c>
      <c r="B666">
        <v>5486.6944041434599</v>
      </c>
      <c r="C666">
        <v>131255.57</v>
      </c>
      <c r="D666">
        <v>7.8300619359493204</v>
      </c>
      <c r="E666">
        <v>51</v>
      </c>
      <c r="F666" t="s">
        <v>57</v>
      </c>
    </row>
    <row r="667" spans="1:6" x14ac:dyDescent="0.2">
      <c r="A667" t="s">
        <v>9</v>
      </c>
      <c r="B667">
        <v>3143.4102251381901</v>
      </c>
      <c r="C667">
        <v>197358.16</v>
      </c>
      <c r="D667">
        <v>3.3912873859882402</v>
      </c>
      <c r="E667">
        <v>52</v>
      </c>
      <c r="F667" t="s">
        <v>58</v>
      </c>
    </row>
    <row r="668" spans="1:6" x14ac:dyDescent="0.2">
      <c r="A668" t="s">
        <v>11</v>
      </c>
      <c r="B668">
        <v>3449.4409445594401</v>
      </c>
      <c r="C668">
        <v>574806.47</v>
      </c>
      <c r="D668">
        <v>5.0721379712899504</v>
      </c>
      <c r="E668">
        <v>52</v>
      </c>
      <c r="F668" t="s">
        <v>58</v>
      </c>
    </row>
    <row r="669" spans="1:6" x14ac:dyDescent="0.2">
      <c r="A669" t="s">
        <v>10</v>
      </c>
      <c r="B669">
        <v>3794.49186032947</v>
      </c>
      <c r="C669">
        <v>404463.35</v>
      </c>
      <c r="D669">
        <v>5.2529161369482704</v>
      </c>
      <c r="E669">
        <v>52</v>
      </c>
      <c r="F669" t="s">
        <v>58</v>
      </c>
    </row>
    <row r="670" spans="1:6" x14ac:dyDescent="0.2">
      <c r="A670" t="s">
        <v>6</v>
      </c>
      <c r="B670">
        <v>4099.53390219635</v>
      </c>
      <c r="C670">
        <v>235147.43</v>
      </c>
      <c r="D670">
        <v>5.6415601447900103</v>
      </c>
      <c r="E670">
        <v>52</v>
      </c>
      <c r="F670" t="s">
        <v>58</v>
      </c>
    </row>
    <row r="671" spans="1:6" x14ac:dyDescent="0.2">
      <c r="A671" t="s">
        <v>9</v>
      </c>
      <c r="B671">
        <v>4405.5571126766699</v>
      </c>
      <c r="C671">
        <v>473673.06</v>
      </c>
      <c r="D671">
        <v>6.2382045622348796</v>
      </c>
      <c r="E671">
        <v>52</v>
      </c>
      <c r="F671" t="s">
        <v>58</v>
      </c>
    </row>
    <row r="672" spans="1:6" x14ac:dyDescent="0.2">
      <c r="A672" t="s">
        <v>10</v>
      </c>
      <c r="B672">
        <v>4750.6108731583699</v>
      </c>
      <c r="C672">
        <v>428830.36</v>
      </c>
      <c r="D672">
        <v>6.6902697598616303</v>
      </c>
      <c r="E672">
        <v>52</v>
      </c>
      <c r="F672" t="s">
        <v>58</v>
      </c>
    </row>
    <row r="673" spans="1:6" x14ac:dyDescent="0.2">
      <c r="A673" t="s">
        <v>10</v>
      </c>
      <c r="B673">
        <v>5095.65997250697</v>
      </c>
      <c r="C673">
        <v>564263.46</v>
      </c>
      <c r="D673">
        <v>7.0791212037881204</v>
      </c>
      <c r="E673">
        <v>52</v>
      </c>
      <c r="F673" t="s">
        <v>58</v>
      </c>
    </row>
    <row r="674" spans="1:6" x14ac:dyDescent="0.2">
      <c r="A674" t="s">
        <v>9</v>
      </c>
      <c r="B674">
        <v>5401.6906685881304</v>
      </c>
      <c r="C674">
        <v>371680.2</v>
      </c>
      <c r="D674">
        <v>7.4997938370386796</v>
      </c>
      <c r="E674">
        <v>52</v>
      </c>
      <c r="F674" t="s">
        <v>58</v>
      </c>
    </row>
    <row r="675" spans="1:6" x14ac:dyDescent="0.2">
      <c r="A675" t="s">
        <v>10</v>
      </c>
      <c r="B675">
        <v>5746.7459364654496</v>
      </c>
      <c r="C675">
        <v>245348.56</v>
      </c>
      <c r="D675">
        <v>7.8888968026320097</v>
      </c>
      <c r="E675">
        <v>52</v>
      </c>
      <c r="F675" t="s">
        <v>58</v>
      </c>
    </row>
    <row r="676" spans="1:6" x14ac:dyDescent="0.2">
      <c r="A676" t="s">
        <v>8</v>
      </c>
      <c r="B676">
        <v>6075.8075896651098</v>
      </c>
      <c r="C676">
        <v>26503.72</v>
      </c>
      <c r="D676">
        <v>9.6873567954381308</v>
      </c>
      <c r="E676">
        <v>52</v>
      </c>
      <c r="F676" t="s">
        <v>58</v>
      </c>
    </row>
    <row r="677" spans="1:6" x14ac:dyDescent="0.2">
      <c r="A677" t="s">
        <v>8</v>
      </c>
      <c r="B677">
        <v>4633.6862004915902</v>
      </c>
      <c r="C677">
        <v>397987.94</v>
      </c>
      <c r="D677">
        <v>7.3776465530872297</v>
      </c>
      <c r="E677">
        <v>53</v>
      </c>
      <c r="F677" t="s">
        <v>59</v>
      </c>
    </row>
    <row r="678" spans="1:6" x14ac:dyDescent="0.2">
      <c r="A678" t="s">
        <v>9</v>
      </c>
      <c r="B678">
        <v>4962.7404988927001</v>
      </c>
      <c r="C678">
        <v>58641.58</v>
      </c>
      <c r="D678">
        <v>7.9205819860776296</v>
      </c>
      <c r="E678">
        <v>53</v>
      </c>
      <c r="F678" t="s">
        <v>59</v>
      </c>
    </row>
    <row r="679" spans="1:6" x14ac:dyDescent="0.2">
      <c r="A679" t="s">
        <v>9</v>
      </c>
      <c r="B679">
        <v>5268.7730124812697</v>
      </c>
      <c r="C679">
        <v>218133.64</v>
      </c>
      <c r="D679">
        <v>8.4004820779641491</v>
      </c>
      <c r="E679">
        <v>53</v>
      </c>
      <c r="F679" t="s">
        <v>59</v>
      </c>
    </row>
    <row r="680" spans="1:6" x14ac:dyDescent="0.2">
      <c r="A680" t="s">
        <v>11</v>
      </c>
      <c r="B680">
        <v>5574.8001620578798</v>
      </c>
      <c r="C680">
        <v>571646.43000000005</v>
      </c>
      <c r="D680">
        <v>8.7628044779777508</v>
      </c>
      <c r="E680">
        <v>53</v>
      </c>
      <c r="F680" t="s">
        <v>59</v>
      </c>
    </row>
    <row r="681" spans="1:6" x14ac:dyDescent="0.2">
      <c r="A681" t="s">
        <v>6</v>
      </c>
      <c r="B681">
        <v>5879.8240232922099</v>
      </c>
      <c r="C681">
        <v>267318.12</v>
      </c>
      <c r="D681">
        <v>8.9984834865411099</v>
      </c>
      <c r="E681">
        <v>53</v>
      </c>
      <c r="F681" t="s">
        <v>59</v>
      </c>
    </row>
    <row r="682" spans="1:6" x14ac:dyDescent="0.2">
      <c r="A682" t="s">
        <v>8</v>
      </c>
      <c r="B682">
        <v>6208.8761173805997</v>
      </c>
      <c r="C682">
        <v>77103.820000000007</v>
      </c>
      <c r="D682">
        <v>9.3610533849080397</v>
      </c>
      <c r="E682">
        <v>53</v>
      </c>
      <c r="F682" t="s">
        <v>59</v>
      </c>
    </row>
    <row r="683" spans="1:6" x14ac:dyDescent="0.2">
      <c r="A683" t="s">
        <v>6</v>
      </c>
      <c r="B683">
        <v>6513.92417514507</v>
      </c>
      <c r="C683">
        <v>234300.49</v>
      </c>
      <c r="D683">
        <v>9.5695250208854699</v>
      </c>
      <c r="E683">
        <v>53</v>
      </c>
      <c r="F683" t="s">
        <v>59</v>
      </c>
    </row>
    <row r="684" spans="1:6" x14ac:dyDescent="0.2">
      <c r="A684" t="s">
        <v>6</v>
      </c>
      <c r="B684">
        <v>6818.9449103194502</v>
      </c>
      <c r="C684">
        <v>204986.74</v>
      </c>
      <c r="D684">
        <v>9.6601674453099609</v>
      </c>
      <c r="E684">
        <v>53</v>
      </c>
      <c r="F684" t="s">
        <v>59</v>
      </c>
    </row>
    <row r="685" spans="1:6" x14ac:dyDescent="0.2">
      <c r="A685" t="s">
        <v>9</v>
      </c>
      <c r="B685">
        <v>1617.2231375095901</v>
      </c>
      <c r="C685">
        <v>244903.25</v>
      </c>
      <c r="D685">
        <v>0.96089091854095499</v>
      </c>
      <c r="E685">
        <v>54</v>
      </c>
      <c r="F685" t="s">
        <v>60</v>
      </c>
    </row>
    <row r="686" spans="1:6" x14ac:dyDescent="0.2">
      <c r="A686" t="s">
        <v>6</v>
      </c>
      <c r="B686">
        <v>1923.24740121991</v>
      </c>
      <c r="C686">
        <v>85557.43</v>
      </c>
      <c r="D686">
        <v>1.2319364364623999</v>
      </c>
      <c r="E686">
        <v>54</v>
      </c>
      <c r="F686" t="s">
        <v>60</v>
      </c>
    </row>
    <row r="687" spans="1:6" x14ac:dyDescent="0.2">
      <c r="A687" t="s">
        <v>10</v>
      </c>
      <c r="B687">
        <v>2228.2965735767698</v>
      </c>
      <c r="C687">
        <v>127733.91</v>
      </c>
      <c r="D687">
        <v>1.5300949628830001</v>
      </c>
      <c r="E687">
        <v>54</v>
      </c>
      <c r="F687" t="s">
        <v>60</v>
      </c>
    </row>
    <row r="688" spans="1:6" x14ac:dyDescent="0.2">
      <c r="A688" t="s">
        <v>11</v>
      </c>
      <c r="B688">
        <v>2573.3415115908201</v>
      </c>
      <c r="C688">
        <v>564894.29</v>
      </c>
      <c r="D688">
        <v>2.3703532870292698</v>
      </c>
      <c r="E688">
        <v>54</v>
      </c>
      <c r="F688" t="s">
        <v>60</v>
      </c>
    </row>
    <row r="689" spans="1:6" x14ac:dyDescent="0.2">
      <c r="A689" t="s">
        <v>10</v>
      </c>
      <c r="B689">
        <v>3521.4418641566199</v>
      </c>
      <c r="C689">
        <v>468566.03</v>
      </c>
      <c r="D689">
        <v>3.72108413534164</v>
      </c>
      <c r="E689">
        <v>56</v>
      </c>
      <c r="F689" t="s">
        <v>61</v>
      </c>
    </row>
    <row r="690" spans="1:6" x14ac:dyDescent="0.2">
      <c r="A690" t="s">
        <v>10</v>
      </c>
      <c r="B690">
        <v>3866.4947686610299</v>
      </c>
      <c r="C690">
        <v>267408.43</v>
      </c>
      <c r="D690">
        <v>4.6473744447708096</v>
      </c>
      <c r="E690">
        <v>56</v>
      </c>
      <c r="F690" t="s">
        <v>61</v>
      </c>
    </row>
    <row r="691" spans="1:6" x14ac:dyDescent="0.2">
      <c r="A691" t="s">
        <v>10</v>
      </c>
      <c r="B691">
        <v>4211.5785782441999</v>
      </c>
      <c r="C691">
        <v>419830.6</v>
      </c>
      <c r="D691">
        <v>7.3504987692515096</v>
      </c>
      <c r="E691">
        <v>56</v>
      </c>
      <c r="F691" t="s">
        <v>61</v>
      </c>
    </row>
    <row r="692" spans="1:6" x14ac:dyDescent="0.2">
      <c r="A692" t="s">
        <v>11</v>
      </c>
      <c r="B692">
        <v>4556.6256233786098</v>
      </c>
      <c r="C692">
        <v>547894.6</v>
      </c>
      <c r="D692">
        <v>7.7395614460786204</v>
      </c>
      <c r="E692">
        <v>56</v>
      </c>
      <c r="F692" t="s">
        <v>61</v>
      </c>
    </row>
    <row r="693" spans="1:6" x14ac:dyDescent="0.2">
      <c r="A693" t="s">
        <v>8</v>
      </c>
      <c r="B693">
        <v>4885.6339746467602</v>
      </c>
      <c r="C693">
        <v>67749.320000000007</v>
      </c>
      <c r="D693">
        <v>6.7173964198112497</v>
      </c>
      <c r="E693">
        <v>56</v>
      </c>
      <c r="F693" t="s">
        <v>61</v>
      </c>
    </row>
    <row r="694" spans="1:6" x14ac:dyDescent="0.2">
      <c r="A694" t="s">
        <v>10</v>
      </c>
      <c r="B694">
        <v>5230.7283166595598</v>
      </c>
      <c r="C694">
        <v>423925.73</v>
      </c>
      <c r="D694">
        <v>8.6721980766137392</v>
      </c>
      <c r="E694">
        <v>56</v>
      </c>
      <c r="F694" t="s">
        <v>61</v>
      </c>
    </row>
    <row r="695" spans="1:6" x14ac:dyDescent="0.2">
      <c r="A695" t="s">
        <v>8</v>
      </c>
      <c r="B695">
        <v>5559.7727413515804</v>
      </c>
      <c r="C695">
        <v>361988.18</v>
      </c>
      <c r="D695">
        <v>9.1797867949485799</v>
      </c>
      <c r="E695">
        <v>56</v>
      </c>
      <c r="F695" t="s">
        <v>61</v>
      </c>
    </row>
    <row r="696" spans="1:6" x14ac:dyDescent="0.2">
      <c r="A696" t="s">
        <v>8</v>
      </c>
      <c r="B696">
        <v>5888.8202790708801</v>
      </c>
      <c r="C696">
        <v>301938.59999999998</v>
      </c>
      <c r="D696">
        <v>9.6329748367945296</v>
      </c>
      <c r="E696">
        <v>56</v>
      </c>
      <c r="F696" t="s">
        <v>61</v>
      </c>
    </row>
    <row r="697" spans="1:6" x14ac:dyDescent="0.2">
      <c r="A697" t="s">
        <v>9</v>
      </c>
      <c r="B697">
        <v>6194.8158292235803</v>
      </c>
      <c r="C697">
        <v>129161.64</v>
      </c>
      <c r="D697">
        <v>8.7310867782115906</v>
      </c>
      <c r="E697">
        <v>56</v>
      </c>
      <c r="F697" t="s">
        <v>61</v>
      </c>
    </row>
    <row r="698" spans="1:6" x14ac:dyDescent="0.2">
      <c r="A698" t="s">
        <v>8</v>
      </c>
      <c r="B698">
        <v>6523.8978684553103</v>
      </c>
      <c r="C698">
        <v>159968.01</v>
      </c>
      <c r="D698">
        <v>9.1525961355050391</v>
      </c>
      <c r="E698">
        <v>56</v>
      </c>
      <c r="F698" t="s">
        <v>61</v>
      </c>
    </row>
    <row r="699" spans="1:6" x14ac:dyDescent="0.2">
      <c r="A699" t="s">
        <v>8</v>
      </c>
      <c r="B699">
        <v>6852.9363234453804</v>
      </c>
      <c r="C699">
        <v>300418.33</v>
      </c>
      <c r="D699">
        <v>9.5106034612337709</v>
      </c>
      <c r="E699">
        <v>56</v>
      </c>
      <c r="F699" t="s">
        <v>61</v>
      </c>
    </row>
    <row r="700" spans="1:6" x14ac:dyDescent="0.2">
      <c r="A700" t="s">
        <v>9</v>
      </c>
      <c r="B700">
        <v>7158.9689403360799</v>
      </c>
      <c r="C700">
        <v>327144.08</v>
      </c>
      <c r="D700">
        <v>9.7190961773872395</v>
      </c>
      <c r="E700">
        <v>56</v>
      </c>
      <c r="F700" t="s">
        <v>61</v>
      </c>
    </row>
    <row r="701" spans="1:6" x14ac:dyDescent="0.2">
      <c r="A701" t="s">
        <v>6</v>
      </c>
      <c r="B701">
        <v>7464.0032525863598</v>
      </c>
      <c r="C701">
        <v>462812.85</v>
      </c>
      <c r="D701">
        <v>9.8415162280877393</v>
      </c>
      <c r="E701">
        <v>56</v>
      </c>
      <c r="F701" t="s">
        <v>61</v>
      </c>
    </row>
    <row r="702" spans="1:6" x14ac:dyDescent="0.2">
      <c r="A702" t="s">
        <v>8</v>
      </c>
      <c r="B702">
        <v>7793.0527629296303</v>
      </c>
      <c r="C702">
        <v>301941.95</v>
      </c>
      <c r="D702">
        <v>10.258681902853599</v>
      </c>
      <c r="E702">
        <v>56</v>
      </c>
      <c r="F702" t="s">
        <v>61</v>
      </c>
    </row>
    <row r="703" spans="1:6" x14ac:dyDescent="0.2">
      <c r="A703" t="s">
        <v>6</v>
      </c>
      <c r="B703">
        <v>8098.08867193285</v>
      </c>
      <c r="C703">
        <v>117410.95</v>
      </c>
      <c r="D703">
        <v>10.3221977448146</v>
      </c>
      <c r="E703">
        <v>56</v>
      </c>
      <c r="F703" t="s">
        <v>61</v>
      </c>
    </row>
    <row r="704" spans="1:6" x14ac:dyDescent="0.2">
      <c r="A704" t="s">
        <v>10</v>
      </c>
      <c r="B704">
        <v>8443.1292251360592</v>
      </c>
      <c r="C704">
        <v>67751.27</v>
      </c>
      <c r="D704">
        <v>10.4990699445883</v>
      </c>
      <c r="E704">
        <v>56</v>
      </c>
      <c r="F704" t="s">
        <v>61</v>
      </c>
    </row>
    <row r="705" spans="1:6" x14ac:dyDescent="0.2">
      <c r="A705" t="s">
        <v>8</v>
      </c>
      <c r="B705">
        <v>8772.18089937066</v>
      </c>
      <c r="C705">
        <v>232507.2</v>
      </c>
      <c r="D705">
        <v>10.8302426771005</v>
      </c>
      <c r="E705">
        <v>56</v>
      </c>
      <c r="F705" t="s">
        <v>61</v>
      </c>
    </row>
    <row r="706" spans="1:6" x14ac:dyDescent="0.2">
      <c r="A706" t="s">
        <v>8</v>
      </c>
      <c r="B706">
        <v>9101.2259942091496</v>
      </c>
      <c r="C706">
        <v>71265.919999999998</v>
      </c>
      <c r="D706">
        <v>11.1569425598462</v>
      </c>
      <c r="E706">
        <v>56</v>
      </c>
      <c r="F706" t="s">
        <v>61</v>
      </c>
    </row>
    <row r="707" spans="1:6" x14ac:dyDescent="0.2">
      <c r="A707" t="s">
        <v>11</v>
      </c>
      <c r="B707">
        <v>1932.20624645157</v>
      </c>
      <c r="C707">
        <v>537105.79</v>
      </c>
      <c r="D707">
        <v>0.80731301066080696</v>
      </c>
      <c r="E707">
        <v>57</v>
      </c>
      <c r="F707" t="s">
        <v>62</v>
      </c>
    </row>
    <row r="708" spans="1:6" x14ac:dyDescent="0.2">
      <c r="A708" t="s">
        <v>9</v>
      </c>
      <c r="B708">
        <v>2238.2392533490402</v>
      </c>
      <c r="C708">
        <v>291524.5</v>
      </c>
      <c r="D708">
        <v>0.89764954404830899</v>
      </c>
      <c r="E708">
        <v>57</v>
      </c>
      <c r="F708" t="s">
        <v>62</v>
      </c>
    </row>
    <row r="709" spans="1:6" x14ac:dyDescent="0.2">
      <c r="A709" t="s">
        <v>10</v>
      </c>
      <c r="B709">
        <v>2583.2911123635599</v>
      </c>
      <c r="C709">
        <v>166794.66</v>
      </c>
      <c r="D709">
        <v>1.07834287838936</v>
      </c>
      <c r="E709">
        <v>57</v>
      </c>
      <c r="F709" t="s">
        <v>62</v>
      </c>
    </row>
    <row r="710" spans="1:6" x14ac:dyDescent="0.2">
      <c r="A710" t="s">
        <v>6</v>
      </c>
      <c r="B710">
        <v>2888.33528860565</v>
      </c>
      <c r="C710">
        <v>46979.08</v>
      </c>
      <c r="D710">
        <v>1.4126355623881</v>
      </c>
      <c r="E710">
        <v>57</v>
      </c>
      <c r="F710" t="s">
        <v>62</v>
      </c>
    </row>
    <row r="711" spans="1:6" x14ac:dyDescent="0.2">
      <c r="A711" t="s">
        <v>6</v>
      </c>
      <c r="B711">
        <v>3193.37150199908</v>
      </c>
      <c r="C711">
        <v>52542.74</v>
      </c>
      <c r="D711">
        <v>2.33873131828308</v>
      </c>
      <c r="E711">
        <v>57</v>
      </c>
      <c r="F711" t="s">
        <v>62</v>
      </c>
    </row>
    <row r="712" spans="1:6" x14ac:dyDescent="0.2">
      <c r="A712" t="s">
        <v>6</v>
      </c>
      <c r="B712">
        <v>3498.4140020175701</v>
      </c>
      <c r="C712">
        <v>16592.2</v>
      </c>
      <c r="D712">
        <v>3.3596653934001899</v>
      </c>
      <c r="E712">
        <v>57</v>
      </c>
      <c r="F712" t="s">
        <v>62</v>
      </c>
    </row>
    <row r="713" spans="1:6" x14ac:dyDescent="0.2">
      <c r="A713" t="s">
        <v>6</v>
      </c>
      <c r="B713">
        <v>3803.45863534502</v>
      </c>
      <c r="C713">
        <v>10783.81</v>
      </c>
      <c r="D713">
        <v>4.2316353773752802</v>
      </c>
      <c r="E713">
        <v>57</v>
      </c>
      <c r="F713" t="s">
        <v>62</v>
      </c>
    </row>
    <row r="714" spans="1:6" x14ac:dyDescent="0.2">
      <c r="A714" t="s">
        <v>10</v>
      </c>
      <c r="B714">
        <v>4148.5389824554104</v>
      </c>
      <c r="C714">
        <v>160760.54999999999</v>
      </c>
      <c r="D714">
        <v>6.9886735196590397</v>
      </c>
      <c r="E714">
        <v>57</v>
      </c>
      <c r="F714" t="s">
        <v>62</v>
      </c>
    </row>
    <row r="715" spans="1:6" x14ac:dyDescent="0.2">
      <c r="A715" t="s">
        <v>8</v>
      </c>
      <c r="B715">
        <v>4477.5923224754997</v>
      </c>
      <c r="C715">
        <v>245418.89</v>
      </c>
      <c r="D715">
        <v>7.3776465530872297</v>
      </c>
      <c r="E715">
        <v>57</v>
      </c>
      <c r="F715" t="s">
        <v>62</v>
      </c>
    </row>
    <row r="716" spans="1:6" x14ac:dyDescent="0.2">
      <c r="A716" t="s">
        <v>6</v>
      </c>
      <c r="B716">
        <v>4782.6312088680397</v>
      </c>
      <c r="C716">
        <v>175391.71</v>
      </c>
      <c r="D716">
        <v>7.7124150033473997</v>
      </c>
      <c r="E716">
        <v>57</v>
      </c>
      <c r="F716" t="s">
        <v>62</v>
      </c>
    </row>
    <row r="717" spans="1:6" x14ac:dyDescent="0.2">
      <c r="A717" t="s">
        <v>10</v>
      </c>
      <c r="B717">
        <v>1858.2005296612599</v>
      </c>
      <c r="C717">
        <v>116278.94</v>
      </c>
      <c r="D717">
        <v>0.83893310186068204</v>
      </c>
      <c r="E717">
        <v>58</v>
      </c>
      <c r="F717" t="s">
        <v>63</v>
      </c>
    </row>
    <row r="718" spans="1:6" x14ac:dyDescent="0.2">
      <c r="A718" t="s">
        <v>6</v>
      </c>
      <c r="B718">
        <v>2203.2519904996502</v>
      </c>
      <c r="C718">
        <v>178365.89</v>
      </c>
      <c r="D718">
        <v>0.87054953532218904</v>
      </c>
      <c r="E718">
        <v>58</v>
      </c>
      <c r="F718" t="s">
        <v>63</v>
      </c>
    </row>
    <row r="719" spans="1:6" x14ac:dyDescent="0.2">
      <c r="A719" t="s">
        <v>8</v>
      </c>
      <c r="B719">
        <v>2508.28952973176</v>
      </c>
      <c r="C719">
        <v>365033.27</v>
      </c>
      <c r="D719">
        <v>0.98799588637351998</v>
      </c>
      <c r="E719">
        <v>58</v>
      </c>
      <c r="F719" t="s">
        <v>63</v>
      </c>
    </row>
    <row r="720" spans="1:6" x14ac:dyDescent="0.2">
      <c r="A720" t="s">
        <v>10</v>
      </c>
      <c r="B720">
        <v>2837.3404710784898</v>
      </c>
      <c r="C720">
        <v>211760.46</v>
      </c>
      <c r="D720">
        <v>1.7107927099545801</v>
      </c>
      <c r="E720">
        <v>58</v>
      </c>
      <c r="F720" t="s">
        <v>63</v>
      </c>
    </row>
    <row r="721" spans="1:6" x14ac:dyDescent="0.2">
      <c r="A721" t="s">
        <v>6</v>
      </c>
      <c r="B721">
        <v>3182.3983504009798</v>
      </c>
      <c r="C721">
        <v>456404.83</v>
      </c>
      <c r="D721">
        <v>3.0299002126534802</v>
      </c>
      <c r="E721">
        <v>58</v>
      </c>
      <c r="F721" t="s">
        <v>63</v>
      </c>
    </row>
    <row r="722" spans="1:6" x14ac:dyDescent="0.2">
      <c r="A722" t="s">
        <v>10</v>
      </c>
      <c r="B722">
        <v>3487.4305842799799</v>
      </c>
      <c r="C722">
        <v>355911.39</v>
      </c>
      <c r="D722">
        <v>3.8430762107849099</v>
      </c>
      <c r="E722">
        <v>58</v>
      </c>
      <c r="F722" t="s">
        <v>63</v>
      </c>
    </row>
    <row r="723" spans="1:6" x14ac:dyDescent="0.2">
      <c r="A723" t="s">
        <v>8</v>
      </c>
      <c r="B723">
        <v>3832.4826906948601</v>
      </c>
      <c r="C723">
        <v>244729.96</v>
      </c>
      <c r="D723">
        <v>4.8010087624867799</v>
      </c>
      <c r="E723">
        <v>58</v>
      </c>
      <c r="F723" t="s">
        <v>63</v>
      </c>
    </row>
    <row r="724" spans="1:6" x14ac:dyDescent="0.2">
      <c r="A724" t="s">
        <v>6</v>
      </c>
      <c r="B724">
        <v>4161.5358911703297</v>
      </c>
      <c r="C724">
        <v>175174.5</v>
      </c>
      <c r="D724">
        <v>5.7319597537994396</v>
      </c>
      <c r="E724">
        <v>58</v>
      </c>
      <c r="F724" t="s">
        <v>63</v>
      </c>
    </row>
    <row r="725" spans="1:6" x14ac:dyDescent="0.2">
      <c r="A725" t="s">
        <v>9</v>
      </c>
      <c r="B725">
        <v>4466.5694683769098</v>
      </c>
      <c r="C725">
        <v>185284.4</v>
      </c>
      <c r="D725">
        <v>6.1477922931988997</v>
      </c>
      <c r="E725">
        <v>58</v>
      </c>
      <c r="F725" t="s">
        <v>63</v>
      </c>
    </row>
    <row r="726" spans="1:6" x14ac:dyDescent="0.2">
      <c r="A726" t="s">
        <v>9</v>
      </c>
      <c r="B726">
        <v>4772.6024654165803</v>
      </c>
      <c r="C726">
        <v>232160.89</v>
      </c>
      <c r="D726">
        <v>6.6269811943848902</v>
      </c>
      <c r="E726">
        <v>58</v>
      </c>
      <c r="F726" t="s">
        <v>63</v>
      </c>
    </row>
    <row r="727" spans="1:6" x14ac:dyDescent="0.2">
      <c r="A727" t="s">
        <v>8</v>
      </c>
      <c r="B727">
        <v>5078.64947219848</v>
      </c>
      <c r="C727">
        <v>297775.95</v>
      </c>
      <c r="D727">
        <v>7.1107762113889104</v>
      </c>
      <c r="E727">
        <v>58</v>
      </c>
      <c r="F727" t="s">
        <v>63</v>
      </c>
    </row>
    <row r="728" spans="1:6" x14ac:dyDescent="0.2">
      <c r="A728" t="s">
        <v>11</v>
      </c>
      <c r="B728">
        <v>5407.69209109037</v>
      </c>
      <c r="C728">
        <v>532469.06000000006</v>
      </c>
      <c r="D728">
        <v>7.7395614460786204</v>
      </c>
      <c r="E728">
        <v>58</v>
      </c>
      <c r="F728" t="s">
        <v>63</v>
      </c>
    </row>
    <row r="729" spans="1:6" x14ac:dyDescent="0.2">
      <c r="A729" t="s">
        <v>9</v>
      </c>
      <c r="B729">
        <v>5713.7357801640201</v>
      </c>
      <c r="C729">
        <v>428210.21</v>
      </c>
      <c r="D729">
        <v>8.0699638203461994</v>
      </c>
      <c r="E729">
        <v>58</v>
      </c>
      <c r="F729" t="s">
        <v>63</v>
      </c>
    </row>
    <row r="730" spans="1:6" x14ac:dyDescent="0.2">
      <c r="A730" t="s">
        <v>10</v>
      </c>
      <c r="B730">
        <v>6058.7726886889895</v>
      </c>
      <c r="C730">
        <v>62227.77</v>
      </c>
      <c r="D730">
        <v>8.3370868519624093</v>
      </c>
      <c r="E730">
        <v>58</v>
      </c>
      <c r="F730" t="s">
        <v>63</v>
      </c>
    </row>
    <row r="731" spans="1:6" x14ac:dyDescent="0.2">
      <c r="A731" t="s">
        <v>10</v>
      </c>
      <c r="B731">
        <v>4877.6751727952296</v>
      </c>
      <c r="C731">
        <v>284083.45</v>
      </c>
      <c r="D731">
        <v>7.6490736877600298</v>
      </c>
      <c r="E731">
        <v>59</v>
      </c>
      <c r="F731" t="s">
        <v>64</v>
      </c>
    </row>
    <row r="732" spans="1:6" x14ac:dyDescent="0.2">
      <c r="A732" t="s">
        <v>11</v>
      </c>
      <c r="B732">
        <v>5222.72430507014</v>
      </c>
      <c r="C732">
        <v>527979.44999999995</v>
      </c>
      <c r="D732">
        <v>7.9477374529520697</v>
      </c>
      <c r="E732">
        <v>59</v>
      </c>
      <c r="F732" t="s">
        <v>64</v>
      </c>
    </row>
    <row r="733" spans="1:6" x14ac:dyDescent="0.2">
      <c r="A733" t="s">
        <v>9</v>
      </c>
      <c r="B733">
        <v>5528.74895776023</v>
      </c>
      <c r="C733">
        <v>141272.71</v>
      </c>
      <c r="D733">
        <v>8.6087896442095406</v>
      </c>
      <c r="E733">
        <v>59</v>
      </c>
      <c r="F733" t="s">
        <v>64</v>
      </c>
    </row>
    <row r="734" spans="1:6" x14ac:dyDescent="0.2">
      <c r="A734" t="s">
        <v>8</v>
      </c>
      <c r="B734">
        <v>5857.7533406216899</v>
      </c>
      <c r="C734">
        <v>70482.05</v>
      </c>
      <c r="D734">
        <v>7.6490736877600298</v>
      </c>
      <c r="E734">
        <v>59</v>
      </c>
      <c r="F734" t="s">
        <v>64</v>
      </c>
    </row>
    <row r="735" spans="1:6" x14ac:dyDescent="0.2">
      <c r="A735" t="s">
        <v>8</v>
      </c>
      <c r="B735">
        <v>6186.8118960423699</v>
      </c>
      <c r="C735">
        <v>58213.68</v>
      </c>
      <c r="D735">
        <v>7.0791212037881204</v>
      </c>
      <c r="E735">
        <v>59</v>
      </c>
      <c r="F735" t="s">
        <v>64</v>
      </c>
    </row>
    <row r="736" spans="1:6" x14ac:dyDescent="0.2">
      <c r="A736" t="s">
        <v>8</v>
      </c>
      <c r="B736">
        <v>6515.8358918881604</v>
      </c>
      <c r="C736">
        <v>58793.47</v>
      </c>
      <c r="D736">
        <v>8.6993728454589796</v>
      </c>
      <c r="E736">
        <v>59</v>
      </c>
      <c r="F736" t="s">
        <v>64</v>
      </c>
    </row>
    <row r="737" spans="1:6" x14ac:dyDescent="0.2">
      <c r="A737" t="s">
        <v>8</v>
      </c>
      <c r="B737">
        <v>6844.8798067664802</v>
      </c>
      <c r="C737">
        <v>25750.18</v>
      </c>
      <c r="D737">
        <v>9.0619451121171295</v>
      </c>
      <c r="E737">
        <v>59</v>
      </c>
      <c r="F737" t="s">
        <v>64</v>
      </c>
    </row>
    <row r="738" spans="1:6" x14ac:dyDescent="0.2">
      <c r="A738" t="s">
        <v>9</v>
      </c>
      <c r="B738">
        <v>7150.9235059455204</v>
      </c>
      <c r="C738">
        <v>56468.24</v>
      </c>
      <c r="D738">
        <v>9.3610533849080397</v>
      </c>
      <c r="E738">
        <v>59</v>
      </c>
      <c r="F738" t="s">
        <v>64</v>
      </c>
    </row>
    <row r="739" spans="1:6" x14ac:dyDescent="0.2">
      <c r="A739" t="s">
        <v>9</v>
      </c>
      <c r="B739">
        <v>7456.9420178600203</v>
      </c>
      <c r="C739">
        <v>17466.55</v>
      </c>
      <c r="D739">
        <v>9.6601674453099609</v>
      </c>
      <c r="E739">
        <v>59</v>
      </c>
      <c r="F739" t="s">
        <v>64</v>
      </c>
    </row>
    <row r="740" spans="1:6" x14ac:dyDescent="0.2">
      <c r="A740" t="s">
        <v>9</v>
      </c>
      <c r="B740">
        <v>1316.2110166556299</v>
      </c>
      <c r="C740">
        <v>341555.39</v>
      </c>
      <c r="D740">
        <v>0.92926780339876802</v>
      </c>
      <c r="E740">
        <v>60</v>
      </c>
      <c r="F740" t="s">
        <v>65</v>
      </c>
    </row>
    <row r="741" spans="1:6" x14ac:dyDescent="0.2">
      <c r="A741" t="s">
        <v>6</v>
      </c>
      <c r="B741">
        <v>1622.2381831599901</v>
      </c>
      <c r="C741">
        <v>127522.15</v>
      </c>
      <c r="D741">
        <v>0.98799588637351998</v>
      </c>
      <c r="E741">
        <v>60</v>
      </c>
      <c r="F741" t="s">
        <v>65</v>
      </c>
    </row>
    <row r="742" spans="1:6" x14ac:dyDescent="0.2">
      <c r="A742" t="s">
        <v>10</v>
      </c>
      <c r="B742">
        <v>1927.2784547220399</v>
      </c>
      <c r="C742">
        <v>370270.48</v>
      </c>
      <c r="D742">
        <v>1.14158847090403</v>
      </c>
      <c r="E742">
        <v>60</v>
      </c>
      <c r="F742" t="s">
        <v>65</v>
      </c>
    </row>
    <row r="743" spans="1:6" x14ac:dyDescent="0.2">
      <c r="A743" t="s">
        <v>9</v>
      </c>
      <c r="B743">
        <v>2272.3306112073301</v>
      </c>
      <c r="C743">
        <v>391467.05</v>
      </c>
      <c r="D743">
        <v>1.2003145213604001</v>
      </c>
      <c r="E743">
        <v>60</v>
      </c>
      <c r="F743" t="s">
        <v>65</v>
      </c>
    </row>
    <row r="744" spans="1:6" x14ac:dyDescent="0.2">
      <c r="A744" t="s">
        <v>11</v>
      </c>
      <c r="B744">
        <v>2578.3605814013699</v>
      </c>
      <c r="C744">
        <v>519068.46</v>
      </c>
      <c r="D744">
        <v>1.8598756030877399</v>
      </c>
      <c r="E744">
        <v>60</v>
      </c>
      <c r="F744" t="s">
        <v>65</v>
      </c>
    </row>
    <row r="745" spans="1:6" x14ac:dyDescent="0.2">
      <c r="A745" t="s">
        <v>8</v>
      </c>
      <c r="B745">
        <v>2907.4097292271399</v>
      </c>
      <c r="C745">
        <v>305238.86</v>
      </c>
      <c r="D745">
        <v>4.2316353773752802</v>
      </c>
      <c r="E745">
        <v>60</v>
      </c>
      <c r="F745" t="s">
        <v>65</v>
      </c>
    </row>
    <row r="746" spans="1:6" x14ac:dyDescent="0.2">
      <c r="A746" t="s">
        <v>10</v>
      </c>
      <c r="B746">
        <v>3252.4597767190198</v>
      </c>
      <c r="C746">
        <v>461029.08</v>
      </c>
      <c r="D746">
        <v>4.7693796531041501</v>
      </c>
      <c r="E746">
        <v>60</v>
      </c>
      <c r="F746" t="s">
        <v>65</v>
      </c>
    </row>
    <row r="747" spans="1:6" x14ac:dyDescent="0.2">
      <c r="A747" t="s">
        <v>9</v>
      </c>
      <c r="B747">
        <v>3558.48731983481</v>
      </c>
      <c r="C747">
        <v>257880.13</v>
      </c>
      <c r="D747">
        <v>5.3071398452599796</v>
      </c>
      <c r="E747">
        <v>60</v>
      </c>
      <c r="F747" t="s">
        <v>65</v>
      </c>
    </row>
    <row r="748" spans="1:6" x14ac:dyDescent="0.2">
      <c r="A748" t="s">
        <v>10</v>
      </c>
      <c r="B748">
        <v>3903.54154373653</v>
      </c>
      <c r="C748">
        <v>201224.71</v>
      </c>
      <c r="D748">
        <v>6.2698493615468296</v>
      </c>
      <c r="E748">
        <v>60</v>
      </c>
      <c r="F748" t="s">
        <v>65</v>
      </c>
    </row>
    <row r="749" spans="1:6" x14ac:dyDescent="0.2">
      <c r="A749" t="s">
        <v>10</v>
      </c>
      <c r="B749">
        <v>4248.6144617692298</v>
      </c>
      <c r="C749">
        <v>160490.03</v>
      </c>
      <c r="D749">
        <v>6.7490409270604497</v>
      </c>
      <c r="E749">
        <v>60</v>
      </c>
      <c r="F749" t="s">
        <v>65</v>
      </c>
    </row>
    <row r="750" spans="1:6" x14ac:dyDescent="0.2">
      <c r="A750" t="s">
        <v>8</v>
      </c>
      <c r="B750">
        <v>4577.6682446299601</v>
      </c>
      <c r="C750">
        <v>195131.53</v>
      </c>
      <c r="D750">
        <v>7.4681177532355001</v>
      </c>
      <c r="E750">
        <v>60</v>
      </c>
      <c r="F750" t="s">
        <v>65</v>
      </c>
    </row>
    <row r="751" spans="1:6" x14ac:dyDescent="0.2">
      <c r="A751" t="s">
        <v>6</v>
      </c>
      <c r="B751">
        <v>4882.6902898940398</v>
      </c>
      <c r="C751">
        <v>233339.05</v>
      </c>
      <c r="D751">
        <v>7.7667061543146803</v>
      </c>
      <c r="E751">
        <v>60</v>
      </c>
      <c r="F751" t="s">
        <v>65</v>
      </c>
    </row>
    <row r="752" spans="1:6" x14ac:dyDescent="0.2">
      <c r="A752" t="s">
        <v>8</v>
      </c>
      <c r="B752">
        <v>5211.7593706443204</v>
      </c>
      <c r="C752">
        <v>374820.78</v>
      </c>
      <c r="D752">
        <v>8.6404895440419498</v>
      </c>
      <c r="E752">
        <v>60</v>
      </c>
      <c r="F752" t="s">
        <v>65</v>
      </c>
    </row>
    <row r="753" spans="1:6" x14ac:dyDescent="0.2">
      <c r="A753" t="s">
        <v>8</v>
      </c>
      <c r="B753">
        <v>5540.8191901256096</v>
      </c>
      <c r="C753">
        <v>253830.16</v>
      </c>
      <c r="D753">
        <v>9.2976035789330798</v>
      </c>
      <c r="E753">
        <v>60</v>
      </c>
      <c r="F753" t="s">
        <v>65</v>
      </c>
    </row>
    <row r="754" spans="1:6" x14ac:dyDescent="0.2">
      <c r="A754" t="s">
        <v>10</v>
      </c>
      <c r="B754">
        <v>5885.8514289799296</v>
      </c>
      <c r="C754">
        <v>106385.55</v>
      </c>
      <c r="D754">
        <v>9.1208622272491393</v>
      </c>
      <c r="E754">
        <v>60</v>
      </c>
      <c r="F754" t="s">
        <v>65</v>
      </c>
    </row>
    <row r="755" spans="1:6" x14ac:dyDescent="0.2">
      <c r="A755" t="s">
        <v>8</v>
      </c>
      <c r="B755">
        <v>6214.9321015081196</v>
      </c>
      <c r="C755">
        <v>10001.18</v>
      </c>
      <c r="D755">
        <v>9.5695250208854699</v>
      </c>
      <c r="E755">
        <v>60</v>
      </c>
      <c r="F755" t="s">
        <v>65</v>
      </c>
    </row>
    <row r="756" spans="1:6" x14ac:dyDescent="0.2">
      <c r="A756" t="s">
        <v>6</v>
      </c>
      <c r="B756">
        <v>5403.6773568071703</v>
      </c>
      <c r="C756">
        <v>46331.21</v>
      </c>
      <c r="D756">
        <v>8.1921988204797103</v>
      </c>
      <c r="E756">
        <v>61</v>
      </c>
      <c r="F756" t="s">
        <v>66</v>
      </c>
    </row>
    <row r="757" spans="1:6" x14ac:dyDescent="0.2">
      <c r="A757" t="s">
        <v>11</v>
      </c>
      <c r="B757">
        <v>5708.7089444601897</v>
      </c>
      <c r="C757">
        <v>512609.05</v>
      </c>
      <c r="D757">
        <v>8.0111072178363791</v>
      </c>
      <c r="E757">
        <v>61</v>
      </c>
      <c r="F757" t="s">
        <v>66</v>
      </c>
    </row>
    <row r="758" spans="1:6" x14ac:dyDescent="0.2">
      <c r="A758" t="s">
        <v>6</v>
      </c>
      <c r="B758">
        <v>6013.7511059243398</v>
      </c>
      <c r="C758">
        <v>502813.01</v>
      </c>
      <c r="D758">
        <v>8.2193639949639596</v>
      </c>
      <c r="E758">
        <v>61</v>
      </c>
      <c r="F758" t="s">
        <v>66</v>
      </c>
    </row>
    <row r="759" spans="1:6" x14ac:dyDescent="0.2">
      <c r="A759" t="s">
        <v>9</v>
      </c>
      <c r="B759">
        <v>6319.7780137209502</v>
      </c>
      <c r="C759">
        <v>257403.59</v>
      </c>
      <c r="D759">
        <v>8.49104876872698</v>
      </c>
      <c r="E759">
        <v>61</v>
      </c>
      <c r="F759" t="s">
        <v>66</v>
      </c>
    </row>
    <row r="760" spans="1:6" x14ac:dyDescent="0.2">
      <c r="A760" t="s">
        <v>8</v>
      </c>
      <c r="B760">
        <v>6648.84062599769</v>
      </c>
      <c r="C760">
        <v>160660.14000000001</v>
      </c>
      <c r="D760">
        <v>8.9078380798975605</v>
      </c>
      <c r="E760">
        <v>61</v>
      </c>
      <c r="F760" t="s">
        <v>66</v>
      </c>
    </row>
    <row r="761" spans="1:6" x14ac:dyDescent="0.2">
      <c r="A761" t="s">
        <v>9</v>
      </c>
      <c r="B761">
        <v>6954.8656377611396</v>
      </c>
      <c r="C761">
        <v>50373.79</v>
      </c>
      <c r="D761">
        <v>9.1525961355050391</v>
      </c>
      <c r="E761">
        <v>61</v>
      </c>
      <c r="F761" t="s">
        <v>66</v>
      </c>
    </row>
    <row r="762" spans="1:6" x14ac:dyDescent="0.2">
      <c r="A762" t="s">
        <v>10</v>
      </c>
      <c r="B762">
        <v>7299.9148472291799</v>
      </c>
      <c r="C762">
        <v>37845.5</v>
      </c>
      <c r="D762">
        <v>9.4199661111513802</v>
      </c>
      <c r="E762">
        <v>61</v>
      </c>
      <c r="F762" t="s">
        <v>66</v>
      </c>
    </row>
    <row r="763" spans="1:6" x14ac:dyDescent="0.2">
      <c r="A763" t="s">
        <v>6</v>
      </c>
      <c r="B763">
        <v>1924.25181662467</v>
      </c>
      <c r="C763">
        <v>60731.199999999997</v>
      </c>
      <c r="D763">
        <v>0.98799588637351998</v>
      </c>
      <c r="E763">
        <v>62</v>
      </c>
      <c r="F763" t="s">
        <v>67</v>
      </c>
    </row>
    <row r="764" spans="1:6" x14ac:dyDescent="0.2">
      <c r="A764" t="s">
        <v>6</v>
      </c>
      <c r="B764">
        <v>2229.2749883078</v>
      </c>
      <c r="C764">
        <v>239406.79</v>
      </c>
      <c r="D764">
        <v>1.7378969446500101</v>
      </c>
      <c r="E764">
        <v>62</v>
      </c>
      <c r="F764" t="s">
        <v>67</v>
      </c>
    </row>
    <row r="765" spans="1:6" x14ac:dyDescent="0.2">
      <c r="A765" t="s">
        <v>9</v>
      </c>
      <c r="B765">
        <v>2534.3168720804201</v>
      </c>
      <c r="C765">
        <v>457511.17</v>
      </c>
      <c r="D765">
        <v>1.8915003275553399</v>
      </c>
      <c r="E765">
        <v>62</v>
      </c>
      <c r="F765" t="s">
        <v>67</v>
      </c>
    </row>
    <row r="766" spans="1:6" x14ac:dyDescent="0.2">
      <c r="A766" t="s">
        <v>11</v>
      </c>
      <c r="B766">
        <v>2840.3405699592299</v>
      </c>
      <c r="C766">
        <v>504073.1</v>
      </c>
      <c r="D766">
        <v>3.8430762107849099</v>
      </c>
      <c r="E766">
        <v>62</v>
      </c>
      <c r="F766" t="s">
        <v>67</v>
      </c>
    </row>
    <row r="767" spans="1:6" x14ac:dyDescent="0.2">
      <c r="A767" t="s">
        <v>9</v>
      </c>
      <c r="B767">
        <v>3146.3663510289298</v>
      </c>
      <c r="C767">
        <v>316962.24</v>
      </c>
      <c r="D767">
        <v>4.1096437529405003</v>
      </c>
      <c r="E767">
        <v>62</v>
      </c>
      <c r="F767" t="s">
        <v>67</v>
      </c>
    </row>
    <row r="768" spans="1:6" x14ac:dyDescent="0.2">
      <c r="A768" t="s">
        <v>8</v>
      </c>
      <c r="B768">
        <v>3475.42377581042</v>
      </c>
      <c r="C768">
        <v>102109.98</v>
      </c>
      <c r="D768">
        <v>5.8223578448772404</v>
      </c>
      <c r="E768">
        <v>62</v>
      </c>
      <c r="F768" t="s">
        <v>67</v>
      </c>
    </row>
    <row r="769" spans="1:6" x14ac:dyDescent="0.2">
      <c r="A769" t="s">
        <v>8</v>
      </c>
      <c r="B769">
        <v>3804.4742873760802</v>
      </c>
      <c r="C769">
        <v>27973.41</v>
      </c>
      <c r="D769">
        <v>6.2110808606624603</v>
      </c>
      <c r="E769">
        <v>62</v>
      </c>
      <c r="F769" t="s">
        <v>67</v>
      </c>
    </row>
    <row r="770" spans="1:6" x14ac:dyDescent="0.2">
      <c r="A770" t="s">
        <v>10</v>
      </c>
      <c r="B770">
        <v>4149.5315655237</v>
      </c>
      <c r="C770">
        <v>74948.929999999993</v>
      </c>
      <c r="D770">
        <v>7.2328901525020601</v>
      </c>
      <c r="E770">
        <v>62</v>
      </c>
      <c r="F770" t="s">
        <v>67</v>
      </c>
    </row>
    <row r="771" spans="1:6" x14ac:dyDescent="0.2">
      <c r="A771" t="s">
        <v>8</v>
      </c>
      <c r="B771">
        <v>4478.5870343194501</v>
      </c>
      <c r="C771">
        <v>105880.9</v>
      </c>
      <c r="D771">
        <v>7.8572145278930696</v>
      </c>
      <c r="E771">
        <v>62</v>
      </c>
      <c r="F771" t="s">
        <v>67</v>
      </c>
    </row>
    <row r="772" spans="1:6" x14ac:dyDescent="0.2">
      <c r="A772" t="s">
        <v>8</v>
      </c>
      <c r="B772">
        <v>4807.5950433914004</v>
      </c>
      <c r="C772">
        <v>453658.72</v>
      </c>
      <c r="D772">
        <v>6.83945900357564</v>
      </c>
      <c r="E772">
        <v>62</v>
      </c>
      <c r="F772" t="s">
        <v>67</v>
      </c>
    </row>
    <row r="773" spans="1:6" x14ac:dyDescent="0.2">
      <c r="A773" t="s">
        <v>9</v>
      </c>
      <c r="B773">
        <v>5113.6259192121897</v>
      </c>
      <c r="C773">
        <v>262204.28999999998</v>
      </c>
      <c r="D773">
        <v>7.2600274618148797</v>
      </c>
      <c r="E773">
        <v>62</v>
      </c>
      <c r="F773" t="s">
        <v>67</v>
      </c>
    </row>
    <row r="774" spans="1:6" x14ac:dyDescent="0.2">
      <c r="A774" t="s">
        <v>6</v>
      </c>
      <c r="B774">
        <v>5418.6798564772398</v>
      </c>
      <c r="C774">
        <v>86256.45</v>
      </c>
      <c r="D774">
        <v>7.4997938370386796</v>
      </c>
      <c r="E774">
        <v>62</v>
      </c>
      <c r="F774" t="s">
        <v>67</v>
      </c>
    </row>
    <row r="775" spans="1:6" x14ac:dyDescent="0.2">
      <c r="A775" t="s">
        <v>8</v>
      </c>
      <c r="B775">
        <v>1921.24213228136</v>
      </c>
      <c r="C775">
        <v>187871.14</v>
      </c>
      <c r="D775">
        <v>0.83893310186068204</v>
      </c>
      <c r="E775">
        <v>63</v>
      </c>
      <c r="F775" t="s">
        <v>68</v>
      </c>
    </row>
    <row r="776" spans="1:6" x14ac:dyDescent="0.2">
      <c r="A776" t="s">
        <v>6</v>
      </c>
      <c r="B776">
        <v>2250.3017438848801</v>
      </c>
      <c r="C776">
        <v>166432.53</v>
      </c>
      <c r="D776">
        <v>1.29066340284348</v>
      </c>
      <c r="E776">
        <v>63</v>
      </c>
      <c r="F776" t="s">
        <v>68</v>
      </c>
    </row>
    <row r="777" spans="1:6" x14ac:dyDescent="0.2">
      <c r="A777" t="s">
        <v>9</v>
      </c>
      <c r="B777">
        <v>2555.32822470889</v>
      </c>
      <c r="C777">
        <v>251202.83</v>
      </c>
      <c r="D777">
        <v>2.16255295233726</v>
      </c>
      <c r="E777">
        <v>63</v>
      </c>
      <c r="F777" t="s">
        <v>68</v>
      </c>
    </row>
    <row r="778" spans="1:6" x14ac:dyDescent="0.2">
      <c r="A778" t="s">
        <v>8</v>
      </c>
      <c r="B778">
        <v>2861.3611932929898</v>
      </c>
      <c r="C778">
        <v>116908.98</v>
      </c>
      <c r="D778">
        <v>3.0931430534203801</v>
      </c>
      <c r="E778">
        <v>63</v>
      </c>
      <c r="F778" t="s">
        <v>68</v>
      </c>
    </row>
    <row r="779" spans="1:6" x14ac:dyDescent="0.2">
      <c r="A779" t="s">
        <v>10</v>
      </c>
      <c r="B779">
        <v>3190.4262258398999</v>
      </c>
      <c r="C779">
        <v>142205.19</v>
      </c>
      <c r="D779">
        <v>4.5298796192487103</v>
      </c>
      <c r="E779">
        <v>63</v>
      </c>
      <c r="F779" t="s">
        <v>68</v>
      </c>
    </row>
    <row r="780" spans="1:6" x14ac:dyDescent="0.2">
      <c r="A780" t="s">
        <v>9</v>
      </c>
      <c r="B780">
        <v>3535.4799256462402</v>
      </c>
      <c r="C780">
        <v>309734.48</v>
      </c>
      <c r="D780">
        <v>5.2800288613319397</v>
      </c>
      <c r="E780">
        <v>63</v>
      </c>
      <c r="F780" t="s">
        <v>68</v>
      </c>
    </row>
    <row r="781" spans="1:6" x14ac:dyDescent="0.2">
      <c r="A781" t="s">
        <v>6</v>
      </c>
      <c r="B781">
        <v>3841.5018750469299</v>
      </c>
      <c r="C781">
        <v>233639.57</v>
      </c>
      <c r="D781">
        <v>5.8811136698405004</v>
      </c>
      <c r="E781">
        <v>63</v>
      </c>
      <c r="F781" t="s">
        <v>68</v>
      </c>
    </row>
    <row r="782" spans="1:6" x14ac:dyDescent="0.2">
      <c r="A782" t="s">
        <v>10</v>
      </c>
      <c r="B782">
        <v>4146.5307925447996</v>
      </c>
      <c r="C782">
        <v>106496.52</v>
      </c>
      <c r="D782">
        <v>4.4123856361389198</v>
      </c>
      <c r="E782">
        <v>63</v>
      </c>
      <c r="F782" t="s">
        <v>68</v>
      </c>
    </row>
    <row r="783" spans="1:6" x14ac:dyDescent="0.2">
      <c r="A783" t="s">
        <v>10</v>
      </c>
      <c r="B783">
        <v>4491.5982226444303</v>
      </c>
      <c r="C783">
        <v>164968.23000000001</v>
      </c>
      <c r="D783">
        <v>6.7173964198112497</v>
      </c>
      <c r="E783">
        <v>63</v>
      </c>
      <c r="F783" t="s">
        <v>68</v>
      </c>
    </row>
    <row r="784" spans="1:6" x14ac:dyDescent="0.2">
      <c r="A784" t="s">
        <v>11</v>
      </c>
      <c r="B784">
        <v>4836.6311710243399</v>
      </c>
      <c r="C784">
        <v>502750.59</v>
      </c>
      <c r="D784">
        <v>7.2328901525020601</v>
      </c>
      <c r="E784">
        <v>63</v>
      </c>
      <c r="F784" t="s">
        <v>68</v>
      </c>
    </row>
    <row r="785" spans="1:6" x14ac:dyDescent="0.2">
      <c r="A785" t="s">
        <v>6</v>
      </c>
      <c r="B785">
        <v>2950.3884531509202</v>
      </c>
      <c r="C785">
        <v>162406.24</v>
      </c>
      <c r="D785">
        <v>1.7378969446500101</v>
      </c>
      <c r="E785">
        <v>64</v>
      </c>
      <c r="F785" t="s">
        <v>69</v>
      </c>
    </row>
    <row r="786" spans="1:6" x14ac:dyDescent="0.2">
      <c r="A786" t="s">
        <v>8</v>
      </c>
      <c r="B786">
        <v>3255.4239605555699</v>
      </c>
      <c r="C786">
        <v>230915.8</v>
      </c>
      <c r="D786">
        <v>2.82210337079366</v>
      </c>
      <c r="E786">
        <v>64</v>
      </c>
      <c r="F786" t="s">
        <v>69</v>
      </c>
    </row>
    <row r="787" spans="1:6" x14ac:dyDescent="0.2">
      <c r="A787" t="s">
        <v>10</v>
      </c>
      <c r="B787">
        <v>3584.4758922728602</v>
      </c>
      <c r="C787">
        <v>441764.69</v>
      </c>
      <c r="D787">
        <v>4.5569924191315998</v>
      </c>
      <c r="E787">
        <v>64</v>
      </c>
      <c r="F787" t="s">
        <v>69</v>
      </c>
    </row>
    <row r="788" spans="1:6" x14ac:dyDescent="0.2">
      <c r="A788" t="s">
        <v>10</v>
      </c>
      <c r="B788">
        <v>3929.52737467316</v>
      </c>
      <c r="C788">
        <v>254218.15</v>
      </c>
      <c r="D788">
        <v>5.1896401122887896</v>
      </c>
      <c r="E788">
        <v>64</v>
      </c>
      <c r="F788" t="s">
        <v>69</v>
      </c>
    </row>
    <row r="789" spans="1:6" x14ac:dyDescent="0.2">
      <c r="A789" t="s">
        <v>9</v>
      </c>
      <c r="B789">
        <v>4274.5733712000301</v>
      </c>
      <c r="C789">
        <v>20326.310000000001</v>
      </c>
      <c r="D789">
        <v>5.8494748866240203</v>
      </c>
      <c r="E789">
        <v>64</v>
      </c>
      <c r="F789" t="s">
        <v>69</v>
      </c>
    </row>
    <row r="790" spans="1:6" x14ac:dyDescent="0.2">
      <c r="A790" t="s">
        <v>8</v>
      </c>
      <c r="B790">
        <v>4580.6043011266702</v>
      </c>
      <c r="C790">
        <v>16452.98</v>
      </c>
      <c r="D790">
        <v>6.4823198870499903</v>
      </c>
      <c r="E790">
        <v>64</v>
      </c>
      <c r="F790" t="s">
        <v>69</v>
      </c>
    </row>
    <row r="791" spans="1:6" x14ac:dyDescent="0.2">
      <c r="A791" t="s">
        <v>11</v>
      </c>
      <c r="B791">
        <v>4909.6612584758604</v>
      </c>
      <c r="C791">
        <v>474813.38</v>
      </c>
      <c r="D791">
        <v>7.1424336369514503</v>
      </c>
      <c r="E791">
        <v>64</v>
      </c>
      <c r="F791" t="s">
        <v>69</v>
      </c>
    </row>
    <row r="792" spans="1:6" x14ac:dyDescent="0.2">
      <c r="A792" t="s">
        <v>10</v>
      </c>
      <c r="B792">
        <v>7017.9002493406097</v>
      </c>
      <c r="C792">
        <v>233663.89</v>
      </c>
      <c r="D792">
        <v>9.5423348780155202</v>
      </c>
      <c r="E792">
        <v>65</v>
      </c>
      <c r="F792" t="s">
        <v>70</v>
      </c>
    </row>
    <row r="793" spans="1:6" x14ac:dyDescent="0.2">
      <c r="A793" t="s">
        <v>8</v>
      </c>
      <c r="B793">
        <v>7362.9439657838202</v>
      </c>
      <c r="C793">
        <v>327911.65000000002</v>
      </c>
      <c r="D793">
        <v>9.7780419782479608</v>
      </c>
      <c r="E793">
        <v>65</v>
      </c>
      <c r="F793" t="s">
        <v>70</v>
      </c>
    </row>
    <row r="794" spans="1:6" x14ac:dyDescent="0.2">
      <c r="A794" t="s">
        <v>11</v>
      </c>
      <c r="B794">
        <v>7692.0006382051197</v>
      </c>
      <c r="C794">
        <v>474288.16</v>
      </c>
      <c r="D794">
        <v>10.1407615458647</v>
      </c>
      <c r="E794">
        <v>65</v>
      </c>
      <c r="F794" t="s">
        <v>70</v>
      </c>
    </row>
    <row r="795" spans="1:6" x14ac:dyDescent="0.2">
      <c r="A795" t="s">
        <v>6</v>
      </c>
      <c r="B795">
        <v>7997.0431654151898</v>
      </c>
      <c r="C795">
        <v>309166.38</v>
      </c>
      <c r="D795">
        <v>10.199732354847599</v>
      </c>
      <c r="E795">
        <v>65</v>
      </c>
      <c r="F795" t="s">
        <v>70</v>
      </c>
    </row>
    <row r="796" spans="1:6" x14ac:dyDescent="0.2">
      <c r="A796" t="s">
        <v>9</v>
      </c>
      <c r="B796">
        <v>8303.0742952999699</v>
      </c>
      <c r="C796">
        <v>88283.96</v>
      </c>
      <c r="D796">
        <v>10.5308376963615</v>
      </c>
      <c r="E796">
        <v>65</v>
      </c>
      <c r="F796" t="s">
        <v>70</v>
      </c>
    </row>
    <row r="797" spans="1:6" x14ac:dyDescent="0.2">
      <c r="A797" t="s">
        <v>6</v>
      </c>
      <c r="B797">
        <v>8608.0990876234791</v>
      </c>
      <c r="C797">
        <v>116891.11</v>
      </c>
      <c r="D797">
        <v>10.558054118919401</v>
      </c>
      <c r="E797">
        <v>65</v>
      </c>
      <c r="F797" t="s">
        <v>70</v>
      </c>
    </row>
    <row r="798" spans="1:6" x14ac:dyDescent="0.2">
      <c r="A798" t="s">
        <v>6</v>
      </c>
      <c r="B798">
        <v>8913.1198318213792</v>
      </c>
      <c r="C798">
        <v>105449.27</v>
      </c>
      <c r="D798">
        <v>10.6215575611273</v>
      </c>
      <c r="E798">
        <v>65</v>
      </c>
      <c r="F798" t="s">
        <v>70</v>
      </c>
    </row>
    <row r="799" spans="1:6" x14ac:dyDescent="0.2">
      <c r="A799" t="s">
        <v>9</v>
      </c>
      <c r="B799">
        <v>9219.1522009670298</v>
      </c>
      <c r="C799">
        <v>110264.53</v>
      </c>
      <c r="D799">
        <v>10.712296018568701</v>
      </c>
      <c r="E799">
        <v>65</v>
      </c>
      <c r="F799" t="s">
        <v>70</v>
      </c>
    </row>
    <row r="800" spans="1:6" x14ac:dyDescent="0.2">
      <c r="A800" t="s">
        <v>9</v>
      </c>
      <c r="B800">
        <v>9525.1832778162898</v>
      </c>
      <c r="C800">
        <v>39148.269999999997</v>
      </c>
      <c r="D800">
        <v>10.766735636758799</v>
      </c>
      <c r="E800">
        <v>65</v>
      </c>
      <c r="F800" t="s">
        <v>70</v>
      </c>
    </row>
    <row r="801" spans="1:6" x14ac:dyDescent="0.2">
      <c r="A801" t="s">
        <v>8</v>
      </c>
      <c r="B801">
        <v>9854.2277499087104</v>
      </c>
      <c r="C801">
        <v>59616.42</v>
      </c>
      <c r="D801">
        <v>11.1569425598462</v>
      </c>
      <c r="E801">
        <v>65</v>
      </c>
      <c r="F801" t="s">
        <v>70</v>
      </c>
    </row>
    <row r="802" spans="1:6" x14ac:dyDescent="0.2">
      <c r="A802" t="s">
        <v>9</v>
      </c>
      <c r="B802">
        <v>10160.2888606938</v>
      </c>
      <c r="C802">
        <v>26375.58</v>
      </c>
      <c r="D802">
        <v>11.2794166938146</v>
      </c>
      <c r="E802">
        <v>65</v>
      </c>
      <c r="F802" t="s">
        <v>70</v>
      </c>
    </row>
    <row r="803" spans="1:6" x14ac:dyDescent="0.2">
      <c r="A803" t="s">
        <v>9</v>
      </c>
      <c r="B803">
        <v>10466.4146877577</v>
      </c>
      <c r="C803">
        <v>19651.91</v>
      </c>
      <c r="D803">
        <v>11.7922851359526</v>
      </c>
      <c r="E803">
        <v>65</v>
      </c>
      <c r="F803" t="s">
        <v>70</v>
      </c>
    </row>
    <row r="804" spans="1:6" x14ac:dyDescent="0.2">
      <c r="A804" t="s">
        <v>10</v>
      </c>
      <c r="B804">
        <v>5228.7609560881901</v>
      </c>
      <c r="C804">
        <v>343407.07</v>
      </c>
      <c r="D804">
        <v>8.3370868519624093</v>
      </c>
      <c r="E804">
        <v>66</v>
      </c>
      <c r="F804" t="s">
        <v>71</v>
      </c>
    </row>
    <row r="805" spans="1:6" x14ac:dyDescent="0.2">
      <c r="A805" t="s">
        <v>11</v>
      </c>
      <c r="B805">
        <v>5573.8046801652099</v>
      </c>
      <c r="C805">
        <v>473878.2</v>
      </c>
      <c r="D805">
        <v>8.5499259765625002</v>
      </c>
      <c r="E805">
        <v>66</v>
      </c>
      <c r="F805" t="s">
        <v>71</v>
      </c>
    </row>
    <row r="806" spans="1:6" x14ac:dyDescent="0.2">
      <c r="A806" t="s">
        <v>6</v>
      </c>
      <c r="B806">
        <v>5878.8061357774504</v>
      </c>
      <c r="C806">
        <v>213618.16</v>
      </c>
      <c r="D806">
        <v>8.7899990613937398</v>
      </c>
      <c r="E806">
        <v>66</v>
      </c>
      <c r="F806" t="s">
        <v>71</v>
      </c>
    </row>
    <row r="807" spans="1:6" x14ac:dyDescent="0.2">
      <c r="A807" t="s">
        <v>6</v>
      </c>
      <c r="B807">
        <v>6183.8447247964596</v>
      </c>
      <c r="C807">
        <v>49102.85</v>
      </c>
      <c r="D807">
        <v>8.9712946947097798</v>
      </c>
      <c r="E807">
        <v>66</v>
      </c>
      <c r="F807" t="s">
        <v>71</v>
      </c>
    </row>
    <row r="808" spans="1:6" x14ac:dyDescent="0.2">
      <c r="A808" t="s">
        <v>10</v>
      </c>
      <c r="B808">
        <v>6528.8897123434599</v>
      </c>
      <c r="C808">
        <v>42280.38</v>
      </c>
      <c r="D808">
        <v>9.1525961355050391</v>
      </c>
      <c r="E808">
        <v>66</v>
      </c>
      <c r="F808" t="s">
        <v>71</v>
      </c>
    </row>
    <row r="809" spans="1:6" x14ac:dyDescent="0.2">
      <c r="A809" t="s">
        <v>8</v>
      </c>
      <c r="B809">
        <v>6857.9308958523097</v>
      </c>
      <c r="C809">
        <v>27477.25</v>
      </c>
      <c r="D809">
        <v>9.5423348780155202</v>
      </c>
      <c r="E809">
        <v>66</v>
      </c>
      <c r="F809" t="s">
        <v>71</v>
      </c>
    </row>
    <row r="810" spans="1:6" x14ac:dyDescent="0.2">
      <c r="A810" t="s">
        <v>6</v>
      </c>
      <c r="B810">
        <v>7162.9737516137302</v>
      </c>
      <c r="C810">
        <v>9354.43</v>
      </c>
      <c r="D810">
        <v>9.6329748367945296</v>
      </c>
      <c r="E810">
        <v>66</v>
      </c>
      <c r="F810" t="s">
        <v>71</v>
      </c>
    </row>
    <row r="811" spans="1:6" x14ac:dyDescent="0.2">
      <c r="A811" t="s">
        <v>6</v>
      </c>
      <c r="B811">
        <v>7467.9941651645804</v>
      </c>
      <c r="C811">
        <v>17130.349999999999</v>
      </c>
      <c r="D811">
        <v>9.9004626706918106</v>
      </c>
      <c r="E811">
        <v>66</v>
      </c>
      <c r="F811" t="s">
        <v>71</v>
      </c>
    </row>
    <row r="812" spans="1:6" x14ac:dyDescent="0.2">
      <c r="A812" t="s">
        <v>8</v>
      </c>
      <c r="B812">
        <v>1880.2408128451</v>
      </c>
      <c r="C812">
        <v>231101.44</v>
      </c>
      <c r="D812">
        <v>0.83893310186068204</v>
      </c>
      <c r="E812">
        <v>68</v>
      </c>
      <c r="F812" t="s">
        <v>72</v>
      </c>
    </row>
    <row r="813" spans="1:6" x14ac:dyDescent="0.2">
      <c r="A813" t="s">
        <v>10</v>
      </c>
      <c r="B813">
        <v>2209.2978015420099</v>
      </c>
      <c r="C813">
        <v>210409.86</v>
      </c>
      <c r="D813">
        <v>1.10996682004929</v>
      </c>
      <c r="E813">
        <v>68</v>
      </c>
      <c r="F813" t="s">
        <v>72</v>
      </c>
    </row>
    <row r="814" spans="1:6" x14ac:dyDescent="0.2">
      <c r="A814" t="s">
        <v>11</v>
      </c>
      <c r="B814">
        <v>2554.3461594983401</v>
      </c>
      <c r="C814">
        <v>450207.1</v>
      </c>
      <c r="D814">
        <v>1.4397416527748099</v>
      </c>
      <c r="E814">
        <v>68</v>
      </c>
      <c r="F814" t="s">
        <v>72</v>
      </c>
    </row>
    <row r="815" spans="1:6" x14ac:dyDescent="0.2">
      <c r="A815" t="s">
        <v>9</v>
      </c>
      <c r="B815">
        <v>2860.3730364800499</v>
      </c>
      <c r="C815">
        <v>265030.55</v>
      </c>
      <c r="D815">
        <v>2.55105825222333</v>
      </c>
      <c r="E815">
        <v>68</v>
      </c>
      <c r="F815" t="s">
        <v>72</v>
      </c>
    </row>
    <row r="816" spans="1:6" x14ac:dyDescent="0.2">
      <c r="A816" t="s">
        <v>9</v>
      </c>
      <c r="B816">
        <v>3166.3950910938402</v>
      </c>
      <c r="C816">
        <v>173655.12</v>
      </c>
      <c r="D816">
        <v>3.8972981528123198</v>
      </c>
      <c r="E816">
        <v>68</v>
      </c>
      <c r="F816" t="s">
        <v>72</v>
      </c>
    </row>
    <row r="817" spans="1:6" x14ac:dyDescent="0.2">
      <c r="A817" t="s">
        <v>6</v>
      </c>
      <c r="B817">
        <v>3471.4266403029601</v>
      </c>
      <c r="C817">
        <v>62971.1</v>
      </c>
      <c r="D817">
        <v>4.2587451930522899</v>
      </c>
      <c r="E817">
        <v>68</v>
      </c>
      <c r="F817" t="s">
        <v>72</v>
      </c>
    </row>
    <row r="818" spans="1:6" x14ac:dyDescent="0.2">
      <c r="A818" t="s">
        <v>10</v>
      </c>
      <c r="B818">
        <v>3816.4917145976501</v>
      </c>
      <c r="C818">
        <v>211147.67</v>
      </c>
      <c r="D818">
        <v>5.0088751530329398</v>
      </c>
      <c r="E818">
        <v>68</v>
      </c>
      <c r="F818" t="s">
        <v>72</v>
      </c>
    </row>
    <row r="819" spans="1:6" x14ac:dyDescent="0.2">
      <c r="A819" t="s">
        <v>6</v>
      </c>
      <c r="B819">
        <v>4121.5243147656001</v>
      </c>
      <c r="C819">
        <v>97984.23</v>
      </c>
      <c r="D819">
        <v>5.6415601447900103</v>
      </c>
      <c r="E819">
        <v>68</v>
      </c>
      <c r="F819" t="s">
        <v>72</v>
      </c>
    </row>
    <row r="820" spans="1:6" x14ac:dyDescent="0.2">
      <c r="A820" t="s">
        <v>9</v>
      </c>
      <c r="B820">
        <v>4427.5523083408098</v>
      </c>
      <c r="C820">
        <v>52627.6</v>
      </c>
      <c r="D820">
        <v>6.17943720377286</v>
      </c>
      <c r="E820">
        <v>68</v>
      </c>
      <c r="F820" t="s">
        <v>72</v>
      </c>
    </row>
    <row r="821" spans="1:6" x14ac:dyDescent="0.2">
      <c r="A821" t="s">
        <v>9</v>
      </c>
      <c r="B821">
        <v>4733.5858384929697</v>
      </c>
      <c r="C821">
        <v>127065.01</v>
      </c>
      <c r="D821">
        <v>6.6902697598616303</v>
      </c>
      <c r="E821">
        <v>68</v>
      </c>
      <c r="F821" t="s">
        <v>72</v>
      </c>
    </row>
    <row r="822" spans="1:6" x14ac:dyDescent="0.2">
      <c r="A822" t="s">
        <v>9</v>
      </c>
      <c r="B822">
        <v>5039.6290658666003</v>
      </c>
      <c r="C822">
        <v>134706.38</v>
      </c>
      <c r="D822">
        <v>7.0519884542306297</v>
      </c>
      <c r="E822">
        <v>68</v>
      </c>
      <c r="F822" t="s">
        <v>72</v>
      </c>
    </row>
    <row r="823" spans="1:6" x14ac:dyDescent="0.2">
      <c r="A823" t="s">
        <v>9</v>
      </c>
      <c r="B823">
        <v>5345.6801671601597</v>
      </c>
      <c r="C823">
        <v>283481.34999999998</v>
      </c>
      <c r="D823">
        <v>7.6807436362584403</v>
      </c>
      <c r="E823">
        <v>68</v>
      </c>
      <c r="F823" t="s">
        <v>72</v>
      </c>
    </row>
    <row r="824" spans="1:6" x14ac:dyDescent="0.2">
      <c r="A824" t="s">
        <v>10</v>
      </c>
      <c r="B824">
        <v>5690.7341465139998</v>
      </c>
      <c r="C824">
        <v>290260.55</v>
      </c>
      <c r="D824">
        <v>8.2193639949639596</v>
      </c>
      <c r="E824">
        <v>68</v>
      </c>
      <c r="F824" t="s">
        <v>72</v>
      </c>
    </row>
    <row r="825" spans="1:6" x14ac:dyDescent="0.2">
      <c r="A825" t="s">
        <v>10</v>
      </c>
      <c r="B825">
        <v>6035.7963090492303</v>
      </c>
      <c r="C825">
        <v>160573.74</v>
      </c>
      <c r="D825">
        <v>8.3099201039155304</v>
      </c>
      <c r="E825">
        <v>68</v>
      </c>
      <c r="F825" t="s">
        <v>72</v>
      </c>
    </row>
    <row r="826" spans="1:6" x14ac:dyDescent="0.2">
      <c r="A826" t="s">
        <v>9</v>
      </c>
      <c r="B826">
        <v>6341.8202900091201</v>
      </c>
      <c r="C826">
        <v>49313.48</v>
      </c>
      <c r="D826">
        <v>8.5816215947945906</v>
      </c>
      <c r="E826">
        <v>68</v>
      </c>
      <c r="F826" t="s">
        <v>72</v>
      </c>
    </row>
    <row r="827" spans="1:6" x14ac:dyDescent="0.2">
      <c r="A827" t="s">
        <v>9</v>
      </c>
      <c r="B827">
        <v>6647.8280951082297</v>
      </c>
      <c r="C827">
        <v>32443.45</v>
      </c>
      <c r="D827">
        <v>9.1525961355050391</v>
      </c>
      <c r="E827">
        <v>68</v>
      </c>
      <c r="F827" t="s">
        <v>72</v>
      </c>
    </row>
    <row r="828" spans="1:6" x14ac:dyDescent="0.2">
      <c r="A828" t="s">
        <v>6</v>
      </c>
      <c r="B828">
        <v>1936.2413763557799</v>
      </c>
      <c r="C828">
        <v>323475.24</v>
      </c>
      <c r="D828">
        <v>0.78020909385681203</v>
      </c>
      <c r="E828">
        <v>71</v>
      </c>
      <c r="F828" t="s">
        <v>73</v>
      </c>
    </row>
    <row r="829" spans="1:6" x14ac:dyDescent="0.2">
      <c r="A829" t="s">
        <v>11</v>
      </c>
      <c r="B829">
        <v>2241.2855650629099</v>
      </c>
      <c r="C829">
        <v>432957.5</v>
      </c>
      <c r="D829">
        <v>0.87054953532218904</v>
      </c>
      <c r="E829">
        <v>71</v>
      </c>
      <c r="F829" t="s">
        <v>73</v>
      </c>
    </row>
    <row r="830" spans="1:6" x14ac:dyDescent="0.2">
      <c r="A830" t="s">
        <v>9</v>
      </c>
      <c r="B830">
        <v>2547.3145679987501</v>
      </c>
      <c r="C830">
        <v>384264.97</v>
      </c>
      <c r="D830">
        <v>0.98799588637351998</v>
      </c>
      <c r="E830">
        <v>71</v>
      </c>
      <c r="F830" t="s">
        <v>73</v>
      </c>
    </row>
    <row r="831" spans="1:6" x14ac:dyDescent="0.2">
      <c r="A831" t="s">
        <v>10</v>
      </c>
      <c r="B831">
        <v>2892.3603887381</v>
      </c>
      <c r="C831">
        <v>175194.6</v>
      </c>
      <c r="D831">
        <v>1.29066340284348</v>
      </c>
      <c r="E831">
        <v>71</v>
      </c>
      <c r="F831" t="s">
        <v>73</v>
      </c>
    </row>
    <row r="832" spans="1:6" x14ac:dyDescent="0.2">
      <c r="A832" t="s">
        <v>6</v>
      </c>
      <c r="B832">
        <v>3197.4039887099302</v>
      </c>
      <c r="C832">
        <v>164835.69</v>
      </c>
      <c r="D832">
        <v>2.0089579200426702</v>
      </c>
      <c r="E832">
        <v>71</v>
      </c>
      <c r="F832" t="s">
        <v>73</v>
      </c>
    </row>
    <row r="833" spans="1:6" x14ac:dyDescent="0.2">
      <c r="A833" t="s">
        <v>8</v>
      </c>
      <c r="B833">
        <v>3526.4529319248099</v>
      </c>
      <c r="C833">
        <v>180452.26</v>
      </c>
      <c r="D833">
        <v>3.7527103777408599</v>
      </c>
      <c r="E833">
        <v>71</v>
      </c>
      <c r="F833" t="s">
        <v>73</v>
      </c>
    </row>
    <row r="834" spans="1:6" x14ac:dyDescent="0.2">
      <c r="A834" t="s">
        <v>8</v>
      </c>
      <c r="B834">
        <v>3855.5047966698598</v>
      </c>
      <c r="C834">
        <v>201680.88</v>
      </c>
      <c r="D834">
        <v>5.0405052121162397</v>
      </c>
      <c r="E834">
        <v>71</v>
      </c>
      <c r="F834" t="s">
        <v>73</v>
      </c>
    </row>
    <row r="835" spans="1:6" x14ac:dyDescent="0.2">
      <c r="A835" t="s">
        <v>8</v>
      </c>
      <c r="B835">
        <v>4184.5513303887001</v>
      </c>
      <c r="C835">
        <v>140879.54</v>
      </c>
      <c r="D835">
        <v>5.9669860358715097</v>
      </c>
      <c r="E835">
        <v>71</v>
      </c>
      <c r="F835" t="s">
        <v>73</v>
      </c>
    </row>
    <row r="836" spans="1:6" x14ac:dyDescent="0.2">
      <c r="A836" t="s">
        <v>10</v>
      </c>
      <c r="B836">
        <v>4529.5869423218001</v>
      </c>
      <c r="C836">
        <v>273812.08</v>
      </c>
      <c r="D836">
        <v>6.6269811943848902</v>
      </c>
      <c r="E836">
        <v>71</v>
      </c>
      <c r="F836" t="s">
        <v>73</v>
      </c>
    </row>
    <row r="837" spans="1:6" x14ac:dyDescent="0.2">
      <c r="A837" t="s">
        <v>9</v>
      </c>
      <c r="B837">
        <v>5533.7679703233598</v>
      </c>
      <c r="C837">
        <v>188725.84</v>
      </c>
      <c r="D837">
        <v>8.5816215947945906</v>
      </c>
      <c r="E837">
        <v>72</v>
      </c>
      <c r="F837" t="s">
        <v>74</v>
      </c>
    </row>
    <row r="838" spans="1:6" x14ac:dyDescent="0.2">
      <c r="A838" t="s">
        <v>11</v>
      </c>
      <c r="B838">
        <v>5839.8375438711801</v>
      </c>
      <c r="C838">
        <v>432825.61</v>
      </c>
      <c r="D838">
        <v>8.8806360796769503</v>
      </c>
      <c r="E838">
        <v>72</v>
      </c>
      <c r="F838" t="s">
        <v>74</v>
      </c>
    </row>
    <row r="839" spans="1:6" x14ac:dyDescent="0.2">
      <c r="A839" t="s">
        <v>6</v>
      </c>
      <c r="B839">
        <v>6144.8356296409202</v>
      </c>
      <c r="C839">
        <v>88269.67</v>
      </c>
      <c r="D839">
        <v>9.0302120701154092</v>
      </c>
      <c r="E839">
        <v>72</v>
      </c>
      <c r="F839" t="s">
        <v>74</v>
      </c>
    </row>
    <row r="840" spans="1:6" x14ac:dyDescent="0.2">
      <c r="A840" t="s">
        <v>6</v>
      </c>
      <c r="B840">
        <v>6449.8498912267496</v>
      </c>
      <c r="C840">
        <v>60383.66</v>
      </c>
      <c r="D840">
        <v>9.0891361212412498</v>
      </c>
      <c r="E840">
        <v>72</v>
      </c>
      <c r="F840" t="s">
        <v>74</v>
      </c>
    </row>
    <row r="841" spans="1:6" x14ac:dyDescent="0.2">
      <c r="A841" t="s">
        <v>10</v>
      </c>
      <c r="B841">
        <v>6794.8899959575001</v>
      </c>
      <c r="C841">
        <v>37603.69</v>
      </c>
      <c r="D841">
        <v>9.3293358858108508</v>
      </c>
      <c r="E841">
        <v>72</v>
      </c>
      <c r="F841" t="s">
        <v>74</v>
      </c>
    </row>
    <row r="842" spans="1:6" x14ac:dyDescent="0.2">
      <c r="A842" t="s">
        <v>6</v>
      </c>
      <c r="B842">
        <v>7099.9157647489401</v>
      </c>
      <c r="C842">
        <v>47363.49</v>
      </c>
      <c r="D842">
        <v>9.4788820937951392</v>
      </c>
      <c r="E842">
        <v>72</v>
      </c>
      <c r="F842" t="s">
        <v>74</v>
      </c>
    </row>
    <row r="843" spans="1:6" x14ac:dyDescent="0.2">
      <c r="A843" t="s">
        <v>10</v>
      </c>
      <c r="B843">
        <v>1967.28505131831</v>
      </c>
      <c r="C843">
        <v>182648.33</v>
      </c>
      <c r="D843">
        <v>1.1686931864102701</v>
      </c>
      <c r="E843">
        <v>74</v>
      </c>
      <c r="F843" t="s">
        <v>75</v>
      </c>
    </row>
    <row r="844" spans="1:6" x14ac:dyDescent="0.2">
      <c r="A844" t="s">
        <v>9</v>
      </c>
      <c r="B844">
        <v>2312.3400425919099</v>
      </c>
      <c r="C844">
        <v>137460.54999999999</v>
      </c>
      <c r="D844">
        <v>1.7107927099545801</v>
      </c>
      <c r="E844">
        <v>74</v>
      </c>
      <c r="F844" t="s">
        <v>75</v>
      </c>
    </row>
    <row r="845" spans="1:6" x14ac:dyDescent="0.2">
      <c r="A845" t="s">
        <v>8</v>
      </c>
      <c r="B845">
        <v>2618.3765440459401</v>
      </c>
      <c r="C845">
        <v>120317.1</v>
      </c>
      <c r="D845">
        <v>2.39745846149127</v>
      </c>
      <c r="E845">
        <v>74</v>
      </c>
      <c r="F845" t="s">
        <v>75</v>
      </c>
    </row>
    <row r="846" spans="1:6" x14ac:dyDescent="0.2">
      <c r="A846" t="s">
        <v>9</v>
      </c>
      <c r="B846">
        <v>2947.4287124929401</v>
      </c>
      <c r="C846">
        <v>108914.03</v>
      </c>
      <c r="D846">
        <v>4.07801836090088</v>
      </c>
      <c r="E846">
        <v>74</v>
      </c>
      <c r="F846" t="s">
        <v>75</v>
      </c>
    </row>
    <row r="847" spans="1:6" x14ac:dyDescent="0.2">
      <c r="A847" t="s">
        <v>9</v>
      </c>
      <c r="B847">
        <v>3253.4648350811199</v>
      </c>
      <c r="C847">
        <v>291618.81</v>
      </c>
      <c r="D847">
        <v>5.0992564197063404</v>
      </c>
      <c r="E847">
        <v>74</v>
      </c>
      <c r="F847" t="s">
        <v>75</v>
      </c>
    </row>
    <row r="848" spans="1:6" x14ac:dyDescent="0.2">
      <c r="A848" t="s">
        <v>11</v>
      </c>
      <c r="B848">
        <v>3559.5066263628901</v>
      </c>
      <c r="C848">
        <v>415270.34</v>
      </c>
      <c r="D848">
        <v>5.6686851596514396</v>
      </c>
      <c r="E848">
        <v>74</v>
      </c>
      <c r="F848" t="s">
        <v>75</v>
      </c>
    </row>
    <row r="849" spans="1:6" x14ac:dyDescent="0.2">
      <c r="A849" t="s">
        <v>10</v>
      </c>
      <c r="B849">
        <v>3904.5612699226499</v>
      </c>
      <c r="C849">
        <v>360115.9</v>
      </c>
      <c r="D849">
        <v>6.59985890345573</v>
      </c>
      <c r="E849">
        <v>74</v>
      </c>
      <c r="F849" t="s">
        <v>75</v>
      </c>
    </row>
    <row r="850" spans="1:6" x14ac:dyDescent="0.2">
      <c r="A850" t="s">
        <v>9</v>
      </c>
      <c r="B850">
        <v>4210.5559484089699</v>
      </c>
      <c r="C850">
        <v>89247.42</v>
      </c>
      <c r="D850">
        <v>5.2529161369482704</v>
      </c>
      <c r="E850">
        <v>74</v>
      </c>
      <c r="F850" t="s">
        <v>75</v>
      </c>
    </row>
    <row r="851" spans="1:6" x14ac:dyDescent="0.2">
      <c r="A851" t="s">
        <v>8</v>
      </c>
      <c r="B851">
        <v>4539.6473382435497</v>
      </c>
      <c r="C851">
        <v>315654.57</v>
      </c>
      <c r="D851">
        <v>7.9477374529520697</v>
      </c>
      <c r="E851">
        <v>74</v>
      </c>
      <c r="F851" t="s">
        <v>75</v>
      </c>
    </row>
    <row r="852" spans="1:6" x14ac:dyDescent="0.2">
      <c r="A852" t="s">
        <v>9</v>
      </c>
      <c r="B852">
        <v>4845.6505287670698</v>
      </c>
      <c r="C852">
        <v>35813.129999999997</v>
      </c>
      <c r="D852">
        <v>6.5094394937833204</v>
      </c>
      <c r="E852">
        <v>74</v>
      </c>
      <c r="F852" t="s">
        <v>75</v>
      </c>
    </row>
    <row r="853" spans="1:6" x14ac:dyDescent="0.2">
      <c r="A853" t="s">
        <v>8</v>
      </c>
      <c r="B853">
        <v>5174.6871784425402</v>
      </c>
      <c r="C853">
        <v>414725.43</v>
      </c>
      <c r="D853">
        <v>7.2600274618148797</v>
      </c>
      <c r="E853">
        <v>74</v>
      </c>
      <c r="F853" t="s">
        <v>75</v>
      </c>
    </row>
    <row r="854" spans="1:6" x14ac:dyDescent="0.2">
      <c r="A854" t="s">
        <v>8</v>
      </c>
      <c r="B854">
        <v>5503.7866118801203</v>
      </c>
      <c r="C854">
        <v>86761.279999999999</v>
      </c>
      <c r="D854">
        <v>9.1525961355050391</v>
      </c>
      <c r="E854">
        <v>74</v>
      </c>
      <c r="F854" t="s">
        <v>75</v>
      </c>
    </row>
    <row r="855" spans="1:6" x14ac:dyDescent="0.2">
      <c r="A855" t="s">
        <v>10</v>
      </c>
      <c r="B855">
        <v>5848.80916709947</v>
      </c>
      <c r="C855">
        <v>138902.70000000001</v>
      </c>
      <c r="D855">
        <v>8.1288176512400305</v>
      </c>
      <c r="E855">
        <v>74</v>
      </c>
      <c r="F855" t="s">
        <v>75</v>
      </c>
    </row>
    <row r="856" spans="1:6" x14ac:dyDescent="0.2">
      <c r="A856" t="s">
        <v>9</v>
      </c>
      <c r="B856">
        <v>6154.8377299726999</v>
      </c>
      <c r="C856">
        <v>141910.32999999999</v>
      </c>
      <c r="D856">
        <v>8.49104876872698</v>
      </c>
      <c r="E856">
        <v>74</v>
      </c>
      <c r="F856" t="s">
        <v>75</v>
      </c>
    </row>
    <row r="857" spans="1:6" x14ac:dyDescent="0.2">
      <c r="A857" t="s">
        <v>9</v>
      </c>
      <c r="B857">
        <v>6460.8540941544497</v>
      </c>
      <c r="C857">
        <v>158798.82</v>
      </c>
      <c r="D857">
        <v>8.8534415856679303</v>
      </c>
      <c r="E857">
        <v>74</v>
      </c>
      <c r="F857" t="s">
        <v>75</v>
      </c>
    </row>
    <row r="858" spans="1:6" x14ac:dyDescent="0.2">
      <c r="A858" t="s">
        <v>10</v>
      </c>
      <c r="B858">
        <v>6805.8968167721196</v>
      </c>
      <c r="C858">
        <v>142108.82999999999</v>
      </c>
      <c r="D858">
        <v>9.0891361212412498</v>
      </c>
      <c r="E858">
        <v>74</v>
      </c>
      <c r="F858" t="s">
        <v>75</v>
      </c>
    </row>
    <row r="859" spans="1:6" x14ac:dyDescent="0.2">
      <c r="A859" t="s">
        <v>8</v>
      </c>
      <c r="B859">
        <v>7134.9490315713201</v>
      </c>
      <c r="C859">
        <v>288932.57</v>
      </c>
      <c r="D859">
        <v>9.5106034612337709</v>
      </c>
      <c r="E859">
        <v>74</v>
      </c>
      <c r="F859" t="s">
        <v>75</v>
      </c>
    </row>
    <row r="860" spans="1:6" x14ac:dyDescent="0.2">
      <c r="A860" t="s">
        <v>6</v>
      </c>
      <c r="B860">
        <v>1946.2781239173801</v>
      </c>
      <c r="C860">
        <v>79802.89</v>
      </c>
      <c r="D860">
        <v>1.4397416527748099</v>
      </c>
      <c r="E860">
        <v>76</v>
      </c>
      <c r="F860" t="s">
        <v>76</v>
      </c>
    </row>
    <row r="861" spans="1:6" x14ac:dyDescent="0.2">
      <c r="A861" t="s">
        <v>8</v>
      </c>
      <c r="B861">
        <v>2251.31725279498</v>
      </c>
      <c r="C861">
        <v>274200.55</v>
      </c>
      <c r="D861">
        <v>2.0993091936588302</v>
      </c>
      <c r="E861">
        <v>76</v>
      </c>
      <c r="F861" t="s">
        <v>76</v>
      </c>
    </row>
    <row r="862" spans="1:6" x14ac:dyDescent="0.2">
      <c r="A862" t="s">
        <v>8</v>
      </c>
      <c r="B862">
        <v>2580.3712472402099</v>
      </c>
      <c r="C862">
        <v>231396.77</v>
      </c>
      <c r="D862">
        <v>3.6623427943070701</v>
      </c>
      <c r="E862">
        <v>76</v>
      </c>
      <c r="F862" t="s">
        <v>76</v>
      </c>
    </row>
    <row r="863" spans="1:6" x14ac:dyDescent="0.2">
      <c r="A863" t="s">
        <v>10</v>
      </c>
      <c r="B863">
        <v>2909.41940243407</v>
      </c>
      <c r="C863">
        <v>140101.28</v>
      </c>
      <c r="D863">
        <v>4.9817599689642602</v>
      </c>
      <c r="E863">
        <v>76</v>
      </c>
      <c r="F863" t="s">
        <v>76</v>
      </c>
    </row>
    <row r="864" spans="1:6" x14ac:dyDescent="0.2">
      <c r="A864" t="s">
        <v>9</v>
      </c>
      <c r="B864">
        <v>3254.4733651258198</v>
      </c>
      <c r="C864">
        <v>275854.15999999997</v>
      </c>
      <c r="D864">
        <v>5.6415601447900103</v>
      </c>
      <c r="E864">
        <v>76</v>
      </c>
      <c r="F864" t="s">
        <v>76</v>
      </c>
    </row>
    <row r="865" spans="1:6" x14ac:dyDescent="0.2">
      <c r="A865" t="s">
        <v>11</v>
      </c>
      <c r="B865">
        <v>3560.5026985877498</v>
      </c>
      <c r="C865">
        <v>403984.11</v>
      </c>
      <c r="D865">
        <v>6.32862172878583</v>
      </c>
      <c r="E865">
        <v>76</v>
      </c>
      <c r="F865" t="s">
        <v>76</v>
      </c>
    </row>
    <row r="866" spans="1:6" x14ac:dyDescent="0.2">
      <c r="A866" t="s">
        <v>8</v>
      </c>
      <c r="B866">
        <v>3889.5612351602799</v>
      </c>
      <c r="C866">
        <v>145240.35</v>
      </c>
      <c r="D866">
        <v>7.1424336369514503</v>
      </c>
      <c r="E866">
        <v>76</v>
      </c>
      <c r="F866" t="s">
        <v>76</v>
      </c>
    </row>
    <row r="867" spans="1:6" x14ac:dyDescent="0.2">
      <c r="A867" t="s">
        <v>9</v>
      </c>
      <c r="B867">
        <v>1982.29462360871</v>
      </c>
      <c r="C867">
        <v>217606.62</v>
      </c>
      <c r="D867">
        <v>0.92926780339876802</v>
      </c>
      <c r="E867">
        <v>77</v>
      </c>
      <c r="F867" t="s">
        <v>77</v>
      </c>
    </row>
    <row r="868" spans="1:6" x14ac:dyDescent="0.2">
      <c r="A868" t="s">
        <v>11</v>
      </c>
      <c r="B868">
        <v>2288.3256813227199</v>
      </c>
      <c r="C868">
        <v>401312.98</v>
      </c>
      <c r="D868">
        <v>1.07834287838936</v>
      </c>
      <c r="E868">
        <v>77</v>
      </c>
      <c r="F868" t="s">
        <v>77</v>
      </c>
    </row>
    <row r="869" spans="1:6" x14ac:dyDescent="0.2">
      <c r="A869" t="s">
        <v>8</v>
      </c>
      <c r="B869">
        <v>2617.3808987730299</v>
      </c>
      <c r="C869">
        <v>309138.5</v>
      </c>
      <c r="D869">
        <v>2.0722048119386001</v>
      </c>
      <c r="E869">
        <v>77</v>
      </c>
      <c r="F869" t="s">
        <v>77</v>
      </c>
    </row>
    <row r="870" spans="1:6" x14ac:dyDescent="0.2">
      <c r="A870" t="s">
        <v>10</v>
      </c>
      <c r="B870">
        <v>2962.4272159761199</v>
      </c>
      <c r="C870">
        <v>203238.49</v>
      </c>
      <c r="D870">
        <v>3.41839412010511</v>
      </c>
      <c r="E870">
        <v>77</v>
      </c>
      <c r="F870" t="s">
        <v>77</v>
      </c>
    </row>
    <row r="871" spans="1:6" x14ac:dyDescent="0.2">
      <c r="A871" t="s">
        <v>9</v>
      </c>
      <c r="B871">
        <v>3268.4568609573998</v>
      </c>
      <c r="C871">
        <v>310567.55</v>
      </c>
      <c r="D871">
        <v>4.32201112863223</v>
      </c>
      <c r="E871">
        <v>77</v>
      </c>
      <c r="F871" t="s">
        <v>77</v>
      </c>
    </row>
    <row r="872" spans="1:6" x14ac:dyDescent="0.2">
      <c r="A872" t="s">
        <v>6</v>
      </c>
      <c r="B872">
        <v>3573.4889722640301</v>
      </c>
      <c r="C872">
        <v>261256.38</v>
      </c>
      <c r="D872">
        <v>4.8010087624867799</v>
      </c>
      <c r="E872">
        <v>77</v>
      </c>
      <c r="F872" t="s">
        <v>77</v>
      </c>
    </row>
    <row r="873" spans="1:6" x14ac:dyDescent="0.2">
      <c r="A873" t="s">
        <v>9</v>
      </c>
      <c r="B873">
        <v>3879.5085594352099</v>
      </c>
      <c r="C873">
        <v>310634.58</v>
      </c>
      <c r="D873">
        <v>5.5511773522377004</v>
      </c>
      <c r="E873">
        <v>77</v>
      </c>
      <c r="F873" t="s">
        <v>77</v>
      </c>
    </row>
    <row r="874" spans="1:6" x14ac:dyDescent="0.2">
      <c r="A874" t="s">
        <v>9</v>
      </c>
      <c r="B874">
        <v>4185.5501803789402</v>
      </c>
      <c r="C874">
        <v>9990.49</v>
      </c>
      <c r="D874">
        <v>4.4394991870403304</v>
      </c>
      <c r="E874">
        <v>77</v>
      </c>
      <c r="F874" t="s">
        <v>77</v>
      </c>
    </row>
    <row r="875" spans="1:6" x14ac:dyDescent="0.2">
      <c r="A875" t="s">
        <v>6</v>
      </c>
      <c r="B875">
        <v>4490.5784442240501</v>
      </c>
      <c r="C875">
        <v>180900.26</v>
      </c>
      <c r="D875">
        <v>6.5727330104192099</v>
      </c>
      <c r="E875">
        <v>77</v>
      </c>
      <c r="F875" t="s">
        <v>77</v>
      </c>
    </row>
    <row r="876" spans="1:6" x14ac:dyDescent="0.2">
      <c r="A876" t="s">
        <v>6</v>
      </c>
      <c r="B876">
        <v>4795.6164198372599</v>
      </c>
      <c r="C876">
        <v>298002.77</v>
      </c>
      <c r="D876">
        <v>6.8982393697579703</v>
      </c>
      <c r="E876">
        <v>77</v>
      </c>
      <c r="F876" t="s">
        <v>77</v>
      </c>
    </row>
    <row r="877" spans="1:6" x14ac:dyDescent="0.2">
      <c r="A877" t="s">
        <v>10</v>
      </c>
      <c r="B877">
        <v>5140.6610189985304</v>
      </c>
      <c r="C877">
        <v>320938.14</v>
      </c>
      <c r="D877">
        <v>7.3504987692515096</v>
      </c>
      <c r="E877">
        <v>77</v>
      </c>
      <c r="F877" t="s">
        <v>77</v>
      </c>
    </row>
    <row r="878" spans="1:6" x14ac:dyDescent="0.2">
      <c r="A878" t="s">
        <v>9</v>
      </c>
      <c r="B878">
        <v>5446.6895463163501</v>
      </c>
      <c r="C878">
        <v>327582.65999999997</v>
      </c>
      <c r="D878">
        <v>7.7395614460786204</v>
      </c>
      <c r="E878">
        <v>77</v>
      </c>
      <c r="F878" t="s">
        <v>77</v>
      </c>
    </row>
    <row r="879" spans="1:6" x14ac:dyDescent="0.2">
      <c r="A879" t="s">
        <v>9</v>
      </c>
      <c r="B879">
        <v>5752.7272539597898</v>
      </c>
      <c r="C879">
        <v>262323.27</v>
      </c>
      <c r="D879">
        <v>8.0382720863501191</v>
      </c>
      <c r="E879">
        <v>77</v>
      </c>
      <c r="F879" t="s">
        <v>77</v>
      </c>
    </row>
    <row r="880" spans="1:6" x14ac:dyDescent="0.2">
      <c r="A880" t="s">
        <v>10</v>
      </c>
      <c r="B880">
        <v>6097.7964004691703</v>
      </c>
      <c r="C880">
        <v>61513.2</v>
      </c>
      <c r="D880">
        <v>8.3733119284788806</v>
      </c>
      <c r="E880">
        <v>77</v>
      </c>
      <c r="F880" t="s">
        <v>77</v>
      </c>
    </row>
    <row r="881" spans="1:9" x14ac:dyDescent="0.2">
      <c r="A881" t="s">
        <v>6</v>
      </c>
      <c r="B881">
        <v>6402.8260399740002</v>
      </c>
      <c r="C881">
        <v>36717.39</v>
      </c>
      <c r="D881">
        <v>8.5816215947945906</v>
      </c>
      <c r="E881">
        <v>77</v>
      </c>
      <c r="F881" t="s">
        <v>77</v>
      </c>
    </row>
    <row r="882" spans="1:9" x14ac:dyDescent="0.2">
      <c r="A882" t="s">
        <v>8</v>
      </c>
      <c r="B882">
        <v>6731.8683131651896</v>
      </c>
      <c r="C882">
        <v>71496.95</v>
      </c>
      <c r="D882">
        <v>9.0302120701154092</v>
      </c>
      <c r="E882">
        <v>77</v>
      </c>
      <c r="F882" t="s">
        <v>77</v>
      </c>
    </row>
    <row r="883" spans="1:9" x14ac:dyDescent="0.2">
      <c r="A883" t="s">
        <v>8</v>
      </c>
      <c r="B883">
        <v>7060.9199285678797</v>
      </c>
      <c r="C883">
        <v>41109</v>
      </c>
      <c r="D883">
        <v>9.4516992524941799</v>
      </c>
      <c r="E883">
        <v>77</v>
      </c>
      <c r="F883" t="s">
        <v>77</v>
      </c>
    </row>
    <row r="884" spans="1:9" x14ac:dyDescent="0.2">
      <c r="A884" t="s">
        <v>9</v>
      </c>
      <c r="B884">
        <v>7366.9480666706104</v>
      </c>
      <c r="C884">
        <v>61524.69</v>
      </c>
      <c r="D884">
        <v>9.6873567954381308</v>
      </c>
      <c r="E884">
        <v>77</v>
      </c>
      <c r="F884" t="s">
        <v>77</v>
      </c>
    </row>
    <row r="885" spans="1:9" x14ac:dyDescent="0.2">
      <c r="A885" s="3" t="s">
        <v>11</v>
      </c>
      <c r="B885" s="3">
        <v>8279.0470044433405</v>
      </c>
      <c r="C885" s="3">
        <v>390607.62</v>
      </c>
      <c r="D885" s="3">
        <v>10.1679811870734</v>
      </c>
      <c r="E885" s="3">
        <v>79</v>
      </c>
      <c r="F885" s="3" t="s">
        <v>78</v>
      </c>
      <c r="G885">
        <f>B885-B884</f>
        <v>912.0989377727301</v>
      </c>
      <c r="H885">
        <f>B885-B426</f>
        <v>2140.5069654827703</v>
      </c>
      <c r="I885">
        <f>H885/306</f>
        <v>6.9951208022312752</v>
      </c>
    </row>
    <row r="886" spans="1:9" x14ac:dyDescent="0.2">
      <c r="A886" s="3" t="s">
        <v>9</v>
      </c>
      <c r="B886" s="3">
        <v>8585.0621791721696</v>
      </c>
      <c r="C886" s="3">
        <v>264246.34999999998</v>
      </c>
      <c r="D886" s="3">
        <v>10.3221977448146</v>
      </c>
      <c r="E886" s="3">
        <v>79</v>
      </c>
      <c r="F886" s="3" t="s">
        <v>78</v>
      </c>
    </row>
    <row r="887" spans="1:9" x14ac:dyDescent="0.2">
      <c r="A887" s="3" t="s">
        <v>9</v>
      </c>
      <c r="B887" s="3">
        <v>8891.0809098913996</v>
      </c>
      <c r="C887" s="3">
        <v>135158.17000000001</v>
      </c>
      <c r="D887" s="3">
        <v>10.4673234378974</v>
      </c>
      <c r="E887" s="3">
        <v>79</v>
      </c>
      <c r="F887" s="3" t="s">
        <v>78</v>
      </c>
    </row>
    <row r="888" spans="1:9" x14ac:dyDescent="0.2">
      <c r="A888" s="3" t="s">
        <v>9</v>
      </c>
      <c r="B888" s="3">
        <v>9197.1180104630894</v>
      </c>
      <c r="C888" s="3">
        <v>52314.25</v>
      </c>
      <c r="D888" s="3">
        <v>10.5898025528272</v>
      </c>
      <c r="E888" s="3">
        <v>79</v>
      </c>
      <c r="F888" s="3" t="s">
        <v>78</v>
      </c>
    </row>
    <row r="889" spans="1:9" x14ac:dyDescent="0.2">
      <c r="A889" t="s">
        <v>9</v>
      </c>
      <c r="B889">
        <v>2304.3181984687699</v>
      </c>
      <c r="C889">
        <v>258915.73</v>
      </c>
      <c r="D889">
        <v>0.98799588637351998</v>
      </c>
      <c r="E889">
        <v>81</v>
      </c>
      <c r="F889" t="s">
        <v>79</v>
      </c>
    </row>
    <row r="890" spans="1:9" x14ac:dyDescent="0.2">
      <c r="A890" t="s">
        <v>11</v>
      </c>
      <c r="B890">
        <v>2610.3450392283398</v>
      </c>
      <c r="C890">
        <v>378607.72</v>
      </c>
      <c r="D890">
        <v>1.1686931864102701</v>
      </c>
      <c r="E890">
        <v>81</v>
      </c>
      <c r="F890" t="s">
        <v>79</v>
      </c>
    </row>
    <row r="891" spans="1:9" x14ac:dyDescent="0.2">
      <c r="A891" t="s">
        <v>9</v>
      </c>
      <c r="B891">
        <v>2916.3717143304798</v>
      </c>
      <c r="C891">
        <v>264477.32</v>
      </c>
      <c r="D891">
        <v>2.0089579200426702</v>
      </c>
      <c r="E891">
        <v>81</v>
      </c>
      <c r="F891" t="s">
        <v>79</v>
      </c>
    </row>
    <row r="892" spans="1:9" x14ac:dyDescent="0.2">
      <c r="A892" t="s">
        <v>8</v>
      </c>
      <c r="B892">
        <v>3245.4462576179599</v>
      </c>
      <c r="C892">
        <v>316878.36</v>
      </c>
      <c r="D892">
        <v>3.9289245879332202</v>
      </c>
      <c r="E892">
        <v>81</v>
      </c>
      <c r="F892" t="s">
        <v>79</v>
      </c>
    </row>
    <row r="893" spans="1:9" x14ac:dyDescent="0.2">
      <c r="A893" t="s">
        <v>10</v>
      </c>
      <c r="B893">
        <v>2524.3333148643201</v>
      </c>
      <c r="C893">
        <v>156144.95999999999</v>
      </c>
      <c r="D893">
        <v>0.96089091854095499</v>
      </c>
      <c r="E893">
        <v>82</v>
      </c>
      <c r="F893" t="s">
        <v>80</v>
      </c>
    </row>
    <row r="894" spans="1:9" x14ac:dyDescent="0.2">
      <c r="A894" t="s">
        <v>8</v>
      </c>
      <c r="B894">
        <v>2869.38280156164</v>
      </c>
      <c r="C894">
        <v>106793.69</v>
      </c>
      <c r="D894">
        <v>1.2003145213604001</v>
      </c>
      <c r="E894">
        <v>82</v>
      </c>
      <c r="F894" t="s">
        <v>80</v>
      </c>
    </row>
    <row r="895" spans="1:9" x14ac:dyDescent="0.2">
      <c r="A895" t="s">
        <v>10</v>
      </c>
      <c r="B895">
        <v>3198.4363521845899</v>
      </c>
      <c r="C895">
        <v>197801.63</v>
      </c>
      <c r="D895">
        <v>2.7904798205375698</v>
      </c>
      <c r="E895">
        <v>82</v>
      </c>
      <c r="F895" t="s">
        <v>80</v>
      </c>
    </row>
    <row r="896" spans="1:9" x14ac:dyDescent="0.2">
      <c r="A896" t="s">
        <v>10</v>
      </c>
      <c r="B896">
        <v>3543.5054288971301</v>
      </c>
      <c r="C896">
        <v>65411.03</v>
      </c>
      <c r="D896">
        <v>6.2698493615468296</v>
      </c>
      <c r="E896">
        <v>82</v>
      </c>
      <c r="F896" t="s">
        <v>80</v>
      </c>
    </row>
    <row r="897" spans="1:6" x14ac:dyDescent="0.2">
      <c r="A897" t="s">
        <v>6</v>
      </c>
      <c r="B897">
        <v>3888.5522464576502</v>
      </c>
      <c r="C897">
        <v>256395.98</v>
      </c>
      <c r="D897">
        <v>6.78068572041194</v>
      </c>
      <c r="E897">
        <v>82</v>
      </c>
      <c r="F897" t="s">
        <v>80</v>
      </c>
    </row>
    <row r="898" spans="1:6" x14ac:dyDescent="0.2">
      <c r="A898" t="s">
        <v>6</v>
      </c>
      <c r="B898">
        <v>4193.58391651273</v>
      </c>
      <c r="C898">
        <v>236683.51</v>
      </c>
      <c r="D898">
        <v>7.0791212037881204</v>
      </c>
      <c r="E898">
        <v>82</v>
      </c>
      <c r="F898" t="s">
        <v>80</v>
      </c>
    </row>
    <row r="899" spans="1:6" x14ac:dyDescent="0.2">
      <c r="A899" t="s">
        <v>9</v>
      </c>
      <c r="B899">
        <v>4498.5945667802998</v>
      </c>
      <c r="C899">
        <v>139280.29</v>
      </c>
      <c r="D899">
        <v>7.2871672606150302</v>
      </c>
      <c r="E899">
        <v>82</v>
      </c>
      <c r="F899" t="s">
        <v>80</v>
      </c>
    </row>
    <row r="900" spans="1:6" x14ac:dyDescent="0.2">
      <c r="A900" t="s">
        <v>10</v>
      </c>
      <c r="B900">
        <v>4804.6359857785001</v>
      </c>
      <c r="C900">
        <v>273573.92</v>
      </c>
      <c r="D900">
        <v>6.3602637445608803</v>
      </c>
      <c r="E900">
        <v>82</v>
      </c>
      <c r="F900" t="s">
        <v>80</v>
      </c>
    </row>
    <row r="901" spans="1:6" x14ac:dyDescent="0.2">
      <c r="A901" t="s">
        <v>10</v>
      </c>
      <c r="B901">
        <v>5149.6959956096798</v>
      </c>
      <c r="C901">
        <v>248823.2</v>
      </c>
      <c r="D901">
        <v>8.1605094110647798</v>
      </c>
      <c r="E901">
        <v>82</v>
      </c>
      <c r="F901" t="s">
        <v>80</v>
      </c>
    </row>
    <row r="902" spans="1:6" x14ac:dyDescent="0.2">
      <c r="A902" t="s">
        <v>9</v>
      </c>
      <c r="B902">
        <v>5494.7706503558402</v>
      </c>
      <c r="C902">
        <v>186503.78</v>
      </c>
      <c r="D902">
        <v>8.49104876872698</v>
      </c>
      <c r="E902">
        <v>82</v>
      </c>
      <c r="F902" t="s">
        <v>80</v>
      </c>
    </row>
    <row r="903" spans="1:6" x14ac:dyDescent="0.2">
      <c r="A903" t="s">
        <v>11</v>
      </c>
      <c r="B903">
        <v>5800.8058517996897</v>
      </c>
      <c r="C903">
        <v>377102.55</v>
      </c>
      <c r="D903">
        <v>8.7899990613937398</v>
      </c>
      <c r="E903">
        <v>82</v>
      </c>
      <c r="F903" t="s">
        <v>80</v>
      </c>
    </row>
    <row r="904" spans="1:6" x14ac:dyDescent="0.2">
      <c r="A904" t="s">
        <v>9</v>
      </c>
      <c r="B904">
        <v>5190.73113516183</v>
      </c>
      <c r="C904">
        <v>342242.24</v>
      </c>
      <c r="D904">
        <v>8.49104876872698</v>
      </c>
      <c r="E904">
        <v>83</v>
      </c>
      <c r="F904" t="s">
        <v>81</v>
      </c>
    </row>
    <row r="905" spans="1:6" x14ac:dyDescent="0.2">
      <c r="A905" t="s">
        <v>11</v>
      </c>
      <c r="B905">
        <v>5496.7664922042004</v>
      </c>
      <c r="C905">
        <v>371534.04</v>
      </c>
      <c r="D905">
        <v>8.7628044779777508</v>
      </c>
      <c r="E905">
        <v>83</v>
      </c>
      <c r="F905" t="s">
        <v>81</v>
      </c>
    </row>
    <row r="906" spans="1:6" x14ac:dyDescent="0.2">
      <c r="A906" t="s">
        <v>10</v>
      </c>
      <c r="B906">
        <v>5841.8175681041603</v>
      </c>
      <c r="C906">
        <v>132883.28</v>
      </c>
      <c r="D906">
        <v>9.20696947929064</v>
      </c>
      <c r="E906">
        <v>83</v>
      </c>
      <c r="F906" t="s">
        <v>81</v>
      </c>
    </row>
    <row r="907" spans="1:6" x14ac:dyDescent="0.2">
      <c r="A907" t="s">
        <v>6</v>
      </c>
      <c r="B907">
        <v>6146.8471073359897</v>
      </c>
      <c r="C907">
        <v>365829.11</v>
      </c>
      <c r="D907">
        <v>9.4199661111513802</v>
      </c>
      <c r="E907">
        <v>83</v>
      </c>
      <c r="F907" t="s">
        <v>81</v>
      </c>
    </row>
    <row r="908" spans="1:6" x14ac:dyDescent="0.2">
      <c r="A908" t="s">
        <v>9</v>
      </c>
      <c r="B908">
        <v>2872.3374105990401</v>
      </c>
      <c r="C908">
        <v>83352.009999999995</v>
      </c>
      <c r="D908">
        <v>2.6685131366729702</v>
      </c>
      <c r="E908">
        <v>84</v>
      </c>
      <c r="F908" t="s">
        <v>82</v>
      </c>
    </row>
    <row r="909" spans="1:6" x14ac:dyDescent="0.2">
      <c r="A909" t="s">
        <v>6</v>
      </c>
      <c r="B909">
        <v>3178.3609023957101</v>
      </c>
      <c r="C909">
        <v>34189.08</v>
      </c>
      <c r="D909">
        <v>3.8430762107849099</v>
      </c>
      <c r="E909">
        <v>84</v>
      </c>
      <c r="F909" t="s">
        <v>82</v>
      </c>
    </row>
    <row r="910" spans="1:6" x14ac:dyDescent="0.2">
      <c r="A910" t="s">
        <v>11</v>
      </c>
      <c r="B910">
        <v>3483.40350720579</v>
      </c>
      <c r="C910">
        <v>371006.32</v>
      </c>
      <c r="D910">
        <v>4.07801836090088</v>
      </c>
      <c r="E910">
        <v>84</v>
      </c>
      <c r="F910" t="s">
        <v>82</v>
      </c>
    </row>
    <row r="911" spans="1:6" x14ac:dyDescent="0.2">
      <c r="A911" t="s">
        <v>6</v>
      </c>
      <c r="B911">
        <v>3788.4539305922599</v>
      </c>
      <c r="C911">
        <v>163440.15</v>
      </c>
      <c r="D911">
        <v>4.6202615038235999</v>
      </c>
      <c r="E911">
        <v>84</v>
      </c>
      <c r="F911" t="s">
        <v>82</v>
      </c>
    </row>
    <row r="912" spans="1:6" x14ac:dyDescent="0.2">
      <c r="A912" t="s">
        <v>8</v>
      </c>
      <c r="B912">
        <v>4117.5091486888005</v>
      </c>
      <c r="C912">
        <v>201735.63</v>
      </c>
      <c r="D912">
        <v>5.7907224849542001</v>
      </c>
      <c r="E912">
        <v>84</v>
      </c>
      <c r="F912" t="s">
        <v>82</v>
      </c>
    </row>
    <row r="913" spans="1:6" x14ac:dyDescent="0.2">
      <c r="A913" t="s">
        <v>11</v>
      </c>
      <c r="B913">
        <v>3755.4659107468701</v>
      </c>
      <c r="C913">
        <v>370136.9</v>
      </c>
      <c r="D913">
        <v>5.1308935439268701</v>
      </c>
      <c r="E913">
        <v>85</v>
      </c>
      <c r="F913" t="s">
        <v>83</v>
      </c>
    </row>
    <row r="914" spans="1:6" x14ac:dyDescent="0.2">
      <c r="A914" t="s">
        <v>6</v>
      </c>
      <c r="B914">
        <v>4060.51227807026</v>
      </c>
      <c r="C914">
        <v>189792.91</v>
      </c>
      <c r="D914">
        <v>5.6415601447900103</v>
      </c>
      <c r="E914">
        <v>85</v>
      </c>
      <c r="F914" t="s">
        <v>83</v>
      </c>
    </row>
    <row r="915" spans="1:6" x14ac:dyDescent="0.2">
      <c r="A915" t="s">
        <v>9</v>
      </c>
      <c r="B915">
        <v>4366.5396034776504</v>
      </c>
      <c r="C915">
        <v>105160.48</v>
      </c>
      <c r="D915">
        <v>6.5727330104192099</v>
      </c>
      <c r="E915">
        <v>85</v>
      </c>
      <c r="F915" t="s">
        <v>83</v>
      </c>
    </row>
    <row r="916" spans="1:6" x14ac:dyDescent="0.2">
      <c r="A916" t="s">
        <v>8</v>
      </c>
      <c r="B916">
        <v>4695.5904639107703</v>
      </c>
      <c r="C916">
        <v>145928.35</v>
      </c>
      <c r="D916">
        <v>6.9886735196590397</v>
      </c>
      <c r="E916">
        <v>85</v>
      </c>
      <c r="F916" t="s">
        <v>83</v>
      </c>
    </row>
    <row r="917" spans="1:6" x14ac:dyDescent="0.2">
      <c r="A917" t="s">
        <v>10</v>
      </c>
      <c r="B917">
        <v>5040.6426457441603</v>
      </c>
      <c r="C917">
        <v>330067.65999999997</v>
      </c>
      <c r="D917">
        <v>7.4409768875122104</v>
      </c>
      <c r="E917">
        <v>85</v>
      </c>
      <c r="F917" t="s">
        <v>83</v>
      </c>
    </row>
    <row r="918" spans="1:6" x14ac:dyDescent="0.2">
      <c r="A918" t="s">
        <v>8</v>
      </c>
      <c r="B918">
        <v>3096.3755180069802</v>
      </c>
      <c r="C918">
        <v>51875.040000000001</v>
      </c>
      <c r="D918">
        <v>1.8598756030877399</v>
      </c>
      <c r="E918">
        <v>86</v>
      </c>
      <c r="F918" t="s">
        <v>84</v>
      </c>
    </row>
    <row r="919" spans="1:6" x14ac:dyDescent="0.2">
      <c r="A919" t="s">
        <v>10</v>
      </c>
      <c r="B919">
        <v>3425.4303506086198</v>
      </c>
      <c r="C919">
        <v>200253.48</v>
      </c>
      <c r="D919">
        <v>3.7527103777408599</v>
      </c>
      <c r="E919">
        <v>86</v>
      </c>
      <c r="F919" t="s">
        <v>84</v>
      </c>
    </row>
    <row r="920" spans="1:6" x14ac:dyDescent="0.2">
      <c r="A920" t="s">
        <v>9</v>
      </c>
      <c r="B920">
        <v>3770.4738482963298</v>
      </c>
      <c r="C920">
        <v>317542.84999999998</v>
      </c>
      <c r="D920">
        <v>4.6473744447708096</v>
      </c>
      <c r="E920">
        <v>86</v>
      </c>
      <c r="F920" t="s">
        <v>84</v>
      </c>
    </row>
    <row r="921" spans="1:6" x14ac:dyDescent="0.2">
      <c r="A921" t="s">
        <v>10</v>
      </c>
      <c r="B921">
        <v>4076.5029081553198</v>
      </c>
      <c r="C921">
        <v>241925.32</v>
      </c>
      <c r="D921">
        <v>5.33877888676325</v>
      </c>
      <c r="E921">
        <v>86</v>
      </c>
      <c r="F921" t="s">
        <v>84</v>
      </c>
    </row>
    <row r="922" spans="1:6" x14ac:dyDescent="0.2">
      <c r="A922" t="s">
        <v>11</v>
      </c>
      <c r="B922">
        <v>4421.5581001372202</v>
      </c>
      <c r="C922">
        <v>362461.6</v>
      </c>
      <c r="D922">
        <v>6.0031435604572296</v>
      </c>
      <c r="E922">
        <v>86</v>
      </c>
      <c r="F922" t="s">
        <v>84</v>
      </c>
    </row>
    <row r="923" spans="1:6" x14ac:dyDescent="0.2">
      <c r="A923" t="s">
        <v>10</v>
      </c>
      <c r="B923">
        <v>4766.6118057971098</v>
      </c>
      <c r="C923">
        <v>193197.04</v>
      </c>
      <c r="D923">
        <v>6.5094394937833204</v>
      </c>
      <c r="E923">
        <v>86</v>
      </c>
      <c r="F923" t="s">
        <v>84</v>
      </c>
    </row>
    <row r="924" spans="1:6" x14ac:dyDescent="0.2">
      <c r="A924" t="s">
        <v>6</v>
      </c>
      <c r="B924">
        <v>5071.6467649296401</v>
      </c>
      <c r="C924">
        <v>156400.98000000001</v>
      </c>
      <c r="D924">
        <v>6.83945900357564</v>
      </c>
      <c r="E924">
        <v>86</v>
      </c>
      <c r="F924" t="s">
        <v>84</v>
      </c>
    </row>
    <row r="925" spans="1:6" x14ac:dyDescent="0.2">
      <c r="A925" t="s">
        <v>6</v>
      </c>
      <c r="B925">
        <v>5376.6949302416497</v>
      </c>
      <c r="C925">
        <v>69490.259999999995</v>
      </c>
      <c r="D925">
        <v>7.1424336369514503</v>
      </c>
      <c r="E925">
        <v>86</v>
      </c>
      <c r="F925" t="s">
        <v>84</v>
      </c>
    </row>
    <row r="926" spans="1:6" x14ac:dyDescent="0.2">
      <c r="A926" t="s">
        <v>8</v>
      </c>
      <c r="B926">
        <v>5705.7432546602204</v>
      </c>
      <c r="C926">
        <v>24930.91</v>
      </c>
      <c r="D926">
        <v>7.6807436362584403</v>
      </c>
      <c r="E926">
        <v>86</v>
      </c>
      <c r="F926" t="s">
        <v>84</v>
      </c>
    </row>
    <row r="927" spans="1:6" x14ac:dyDescent="0.2">
      <c r="A927" t="s">
        <v>8</v>
      </c>
      <c r="B927">
        <v>3174.4232124914902</v>
      </c>
      <c r="C927">
        <v>52525.67</v>
      </c>
      <c r="D927">
        <v>1.8598756030877399</v>
      </c>
      <c r="E927">
        <v>87</v>
      </c>
      <c r="F927" t="s">
        <v>85</v>
      </c>
    </row>
    <row r="928" spans="1:6" x14ac:dyDescent="0.2">
      <c r="A928" t="s">
        <v>9</v>
      </c>
      <c r="B928">
        <v>3503.4770654164599</v>
      </c>
      <c r="C928">
        <v>104934.19</v>
      </c>
      <c r="D928">
        <v>3.72108413534164</v>
      </c>
      <c r="E928">
        <v>87</v>
      </c>
      <c r="F928" t="s">
        <v>85</v>
      </c>
    </row>
    <row r="929" spans="1:6" x14ac:dyDescent="0.2">
      <c r="A929" t="s">
        <v>11</v>
      </c>
      <c r="B929">
        <v>3809.5081202808301</v>
      </c>
      <c r="C929">
        <v>362324.6</v>
      </c>
      <c r="D929">
        <v>4.5931445117473597</v>
      </c>
      <c r="E929">
        <v>87</v>
      </c>
      <c r="F929" t="s">
        <v>85</v>
      </c>
    </row>
    <row r="930" spans="1:6" x14ac:dyDescent="0.2">
      <c r="A930" t="s">
        <v>9</v>
      </c>
      <c r="B930">
        <v>4115.52833437957</v>
      </c>
      <c r="C930">
        <v>218956.88</v>
      </c>
      <c r="D930">
        <v>5.3704148029963203</v>
      </c>
      <c r="E930">
        <v>87</v>
      </c>
      <c r="F930" t="s">
        <v>85</v>
      </c>
    </row>
    <row r="931" spans="1:6" x14ac:dyDescent="0.2">
      <c r="A931" t="s">
        <v>10</v>
      </c>
      <c r="B931">
        <v>4460.58192435623</v>
      </c>
      <c r="C931">
        <v>168812.82</v>
      </c>
      <c r="D931">
        <v>5.9398688292185504</v>
      </c>
      <c r="E931">
        <v>87</v>
      </c>
      <c r="F931" t="s">
        <v>85</v>
      </c>
    </row>
    <row r="932" spans="1:6" x14ac:dyDescent="0.2">
      <c r="A932" t="s">
        <v>6</v>
      </c>
      <c r="B932">
        <v>4765.62148051233</v>
      </c>
      <c r="C932">
        <v>314607.44</v>
      </c>
      <c r="D932">
        <v>6.3602637445608803</v>
      </c>
      <c r="E932">
        <v>87</v>
      </c>
      <c r="F932" t="s">
        <v>85</v>
      </c>
    </row>
    <row r="933" spans="1:6" x14ac:dyDescent="0.2">
      <c r="A933" t="s">
        <v>6</v>
      </c>
      <c r="B933">
        <v>5070.6575510148396</v>
      </c>
      <c r="C933">
        <v>98862.67</v>
      </c>
      <c r="D933">
        <v>6.7173964198112497</v>
      </c>
      <c r="E933">
        <v>87</v>
      </c>
      <c r="F933" t="s">
        <v>85</v>
      </c>
    </row>
    <row r="934" spans="1:6" x14ac:dyDescent="0.2">
      <c r="A934" t="s">
        <v>11</v>
      </c>
      <c r="B934">
        <v>5560.7279606952097</v>
      </c>
      <c r="C934">
        <v>361978.62</v>
      </c>
      <c r="D934">
        <v>7.8300619359493204</v>
      </c>
      <c r="E934">
        <v>88</v>
      </c>
      <c r="F934" t="s">
        <v>86</v>
      </c>
    </row>
    <row r="935" spans="1:6" x14ac:dyDescent="0.2">
      <c r="A935" t="s">
        <v>9</v>
      </c>
      <c r="B935">
        <v>5866.7545820987998</v>
      </c>
      <c r="C935">
        <v>186863.98</v>
      </c>
      <c r="D935">
        <v>8.1605094110647798</v>
      </c>
      <c r="E935">
        <v>88</v>
      </c>
      <c r="F935" t="s">
        <v>86</v>
      </c>
    </row>
    <row r="936" spans="1:6" x14ac:dyDescent="0.2">
      <c r="A936" t="s">
        <v>6</v>
      </c>
      <c r="B936">
        <v>6171.7994508860402</v>
      </c>
      <c r="C936">
        <v>148120.46</v>
      </c>
      <c r="D936">
        <v>8.49104876872698</v>
      </c>
      <c r="E936">
        <v>88</v>
      </c>
      <c r="F936" t="s">
        <v>86</v>
      </c>
    </row>
    <row r="937" spans="1:6" x14ac:dyDescent="0.2">
      <c r="A937" t="s">
        <v>6</v>
      </c>
      <c r="B937">
        <v>6476.8529594028496</v>
      </c>
      <c r="C937">
        <v>96999.679999999993</v>
      </c>
      <c r="D937">
        <v>8.6993728454589796</v>
      </c>
      <c r="E937">
        <v>88</v>
      </c>
      <c r="F937" t="s">
        <v>86</v>
      </c>
    </row>
    <row r="938" spans="1:6" x14ac:dyDescent="0.2">
      <c r="A938" t="s">
        <v>10</v>
      </c>
      <c r="B938">
        <v>6821.8678402836404</v>
      </c>
      <c r="C938">
        <v>11449.09</v>
      </c>
      <c r="D938">
        <v>9.0302120701154092</v>
      </c>
      <c r="E938">
        <v>88</v>
      </c>
      <c r="F938" t="s">
        <v>86</v>
      </c>
    </row>
    <row r="939" spans="1:6" x14ac:dyDescent="0.2">
      <c r="A939" t="s">
        <v>10</v>
      </c>
      <c r="B939">
        <v>7166.9440803154703</v>
      </c>
      <c r="C939">
        <v>61612</v>
      </c>
      <c r="D939">
        <v>8.4276596522013296</v>
      </c>
      <c r="E939">
        <v>88</v>
      </c>
      <c r="F939" t="s">
        <v>86</v>
      </c>
    </row>
    <row r="940" spans="1:6" x14ac:dyDescent="0.2">
      <c r="A940" t="s">
        <v>10</v>
      </c>
      <c r="B940">
        <v>7512.0417684331796</v>
      </c>
      <c r="C940">
        <v>21636.61</v>
      </c>
      <c r="D940">
        <v>10.558054118919401</v>
      </c>
      <c r="E940">
        <v>88</v>
      </c>
      <c r="F940" t="s">
        <v>86</v>
      </c>
    </row>
    <row r="941" spans="1:6" x14ac:dyDescent="0.2">
      <c r="A941" t="s">
        <v>11</v>
      </c>
      <c r="B941">
        <v>3732.4445676154201</v>
      </c>
      <c r="C941">
        <v>353422.86</v>
      </c>
      <c r="D941">
        <v>4.6790031865914701</v>
      </c>
      <c r="E941">
        <v>89</v>
      </c>
      <c r="F941" t="s">
        <v>87</v>
      </c>
    </row>
    <row r="942" spans="1:6" x14ac:dyDescent="0.2">
      <c r="A942" t="s">
        <v>9</v>
      </c>
      <c r="B942">
        <v>4038.4659382824598</v>
      </c>
      <c r="C942">
        <v>152460.75</v>
      </c>
      <c r="D942">
        <v>5.3975297287782</v>
      </c>
      <c r="E942">
        <v>89</v>
      </c>
      <c r="F942" t="s">
        <v>87</v>
      </c>
    </row>
    <row r="943" spans="1:6" x14ac:dyDescent="0.2">
      <c r="A943" t="s">
        <v>9</v>
      </c>
      <c r="B943">
        <v>4344.4962117167397</v>
      </c>
      <c r="C943">
        <v>282404.77</v>
      </c>
      <c r="D943">
        <v>5.9669860358715097</v>
      </c>
      <c r="E943">
        <v>89</v>
      </c>
      <c r="F943" t="s">
        <v>87</v>
      </c>
    </row>
    <row r="944" spans="1:6" x14ac:dyDescent="0.2">
      <c r="A944" t="s">
        <v>9</v>
      </c>
      <c r="B944">
        <v>4650.5195606449497</v>
      </c>
      <c r="C944">
        <v>173936.79</v>
      </c>
      <c r="D944">
        <v>6.4823198870499903</v>
      </c>
      <c r="E944">
        <v>89</v>
      </c>
      <c r="F944" t="s">
        <v>87</v>
      </c>
    </row>
    <row r="945" spans="1:6" x14ac:dyDescent="0.2">
      <c r="A945" t="s">
        <v>6</v>
      </c>
      <c r="B945">
        <v>4955.5469895695796</v>
      </c>
      <c r="C945">
        <v>109454.29</v>
      </c>
      <c r="D945">
        <v>6.8078124936103803</v>
      </c>
      <c r="E945">
        <v>89</v>
      </c>
      <c r="F945" t="s">
        <v>87</v>
      </c>
    </row>
    <row r="946" spans="1:6" x14ac:dyDescent="0.2">
      <c r="A946" t="s">
        <v>8</v>
      </c>
      <c r="B946">
        <v>5284.6112313329304</v>
      </c>
      <c r="C946">
        <v>119022.21</v>
      </c>
      <c r="D946">
        <v>7.8029098864078499</v>
      </c>
      <c r="E946">
        <v>89</v>
      </c>
      <c r="F946" t="s">
        <v>87</v>
      </c>
    </row>
    <row r="947" spans="1:6" x14ac:dyDescent="0.2">
      <c r="A947" t="s">
        <v>8</v>
      </c>
      <c r="B947">
        <v>5613.6714102617398</v>
      </c>
      <c r="C947">
        <v>76440.509999999995</v>
      </c>
      <c r="D947">
        <v>8.4276596522013296</v>
      </c>
      <c r="E947">
        <v>89</v>
      </c>
      <c r="F947" t="s">
        <v>87</v>
      </c>
    </row>
    <row r="948" spans="1:6" x14ac:dyDescent="0.2">
      <c r="A948" t="s">
        <v>11</v>
      </c>
      <c r="B948">
        <v>4852.6714836472902</v>
      </c>
      <c r="C948">
        <v>347261.64</v>
      </c>
      <c r="D948">
        <v>7.0791212037881204</v>
      </c>
      <c r="E948">
        <v>91</v>
      </c>
      <c r="F948" t="s">
        <v>88</v>
      </c>
    </row>
    <row r="949" spans="1:6" x14ac:dyDescent="0.2">
      <c r="A949" t="s">
        <v>10</v>
      </c>
      <c r="B949">
        <v>5197.6944973519103</v>
      </c>
      <c r="C949">
        <v>144962.26</v>
      </c>
      <c r="D949">
        <v>7.3504987692515096</v>
      </c>
      <c r="E949">
        <v>91</v>
      </c>
      <c r="F949" t="s">
        <v>88</v>
      </c>
    </row>
    <row r="950" spans="1:6" x14ac:dyDescent="0.2">
      <c r="A950" t="s">
        <v>6</v>
      </c>
      <c r="B950">
        <v>5502.7667299978202</v>
      </c>
      <c r="C950">
        <v>143636.96</v>
      </c>
      <c r="D950">
        <v>8.9984834865411099</v>
      </c>
      <c r="E950">
        <v>91</v>
      </c>
      <c r="F950" t="s">
        <v>88</v>
      </c>
    </row>
    <row r="951" spans="1:6" x14ac:dyDescent="0.2">
      <c r="A951" t="s">
        <v>6</v>
      </c>
      <c r="B951">
        <v>5807.7890011134996</v>
      </c>
      <c r="C951">
        <v>125054.9</v>
      </c>
      <c r="D951">
        <v>9.2432260270595492</v>
      </c>
      <c r="E951">
        <v>91</v>
      </c>
      <c r="F951" t="s">
        <v>88</v>
      </c>
    </row>
    <row r="952" spans="1:6" x14ac:dyDescent="0.2">
      <c r="A952" t="s">
        <v>6</v>
      </c>
      <c r="B952">
        <v>5606.8057197141898</v>
      </c>
      <c r="C952">
        <v>316927.3</v>
      </c>
      <c r="D952">
        <v>8.3370868519624093</v>
      </c>
      <c r="E952">
        <v>92</v>
      </c>
      <c r="F952" t="s">
        <v>89</v>
      </c>
    </row>
    <row r="953" spans="1:6" x14ac:dyDescent="0.2">
      <c r="A953" t="s">
        <v>11</v>
      </c>
      <c r="B953">
        <v>5911.8422003505602</v>
      </c>
      <c r="C953">
        <v>345041.66</v>
      </c>
      <c r="D953">
        <v>8.5182196116129596</v>
      </c>
      <c r="E953">
        <v>92</v>
      </c>
      <c r="F953" t="s">
        <v>89</v>
      </c>
    </row>
    <row r="954" spans="1:6" x14ac:dyDescent="0.2">
      <c r="A954" t="s">
        <v>8</v>
      </c>
      <c r="B954">
        <v>6240.8804677234803</v>
      </c>
      <c r="C954">
        <v>64123.54</v>
      </c>
      <c r="D954">
        <v>8.9078380798975605</v>
      </c>
      <c r="E954">
        <v>92</v>
      </c>
      <c r="F954" t="s">
        <v>89</v>
      </c>
    </row>
    <row r="955" spans="1:6" x14ac:dyDescent="0.2">
      <c r="A955" t="s">
        <v>8</v>
      </c>
      <c r="B955">
        <v>6569.9216158939598</v>
      </c>
      <c r="C955">
        <v>138704.99</v>
      </c>
      <c r="D955">
        <v>9.4199661111513802</v>
      </c>
      <c r="E955">
        <v>92</v>
      </c>
      <c r="F955" t="s">
        <v>89</v>
      </c>
    </row>
    <row r="956" spans="1:6" x14ac:dyDescent="0.2">
      <c r="A956" t="s">
        <v>10</v>
      </c>
      <c r="B956">
        <v>6914.9519278456601</v>
      </c>
      <c r="C956">
        <v>50256.88</v>
      </c>
      <c r="D956">
        <v>9.6601674453099609</v>
      </c>
      <c r="E956">
        <v>92</v>
      </c>
      <c r="F956" t="s">
        <v>89</v>
      </c>
    </row>
    <row r="957" spans="1:6" x14ac:dyDescent="0.2">
      <c r="A957" t="s">
        <v>10</v>
      </c>
      <c r="B957">
        <v>7260.0268877496401</v>
      </c>
      <c r="C957">
        <v>44612.09</v>
      </c>
      <c r="D957">
        <v>9.9322059944947494</v>
      </c>
      <c r="E957">
        <v>92</v>
      </c>
      <c r="F957" t="s">
        <v>89</v>
      </c>
    </row>
    <row r="958" spans="1:6" x14ac:dyDescent="0.2">
      <c r="A958" t="s">
        <v>9</v>
      </c>
      <c r="B958">
        <v>7566.0160263892503</v>
      </c>
      <c r="C958">
        <v>45392.69</v>
      </c>
      <c r="D958">
        <v>10.1407615458647</v>
      </c>
      <c r="E958">
        <v>92</v>
      </c>
      <c r="F958" t="s">
        <v>89</v>
      </c>
    </row>
    <row r="959" spans="1:6" x14ac:dyDescent="0.2">
      <c r="A959" t="s">
        <v>6</v>
      </c>
      <c r="B959">
        <v>7871.0688331808697</v>
      </c>
      <c r="C959">
        <v>155034.14000000001</v>
      </c>
      <c r="D959">
        <v>10.290441043742501</v>
      </c>
      <c r="E959">
        <v>92</v>
      </c>
      <c r="F959" t="s">
        <v>89</v>
      </c>
    </row>
    <row r="960" spans="1:6" x14ac:dyDescent="0.2">
      <c r="A960" t="s">
        <v>9</v>
      </c>
      <c r="B960">
        <v>8177.1106042545998</v>
      </c>
      <c r="C960">
        <v>153031.23000000001</v>
      </c>
      <c r="D960">
        <v>10.4673234378974</v>
      </c>
      <c r="E960">
        <v>92</v>
      </c>
      <c r="F960" t="s">
        <v>89</v>
      </c>
    </row>
    <row r="961" spans="1:6" x14ac:dyDescent="0.2">
      <c r="A961" t="s">
        <v>8</v>
      </c>
      <c r="B961">
        <v>8506.1324174943293</v>
      </c>
      <c r="C961">
        <v>170740.05</v>
      </c>
      <c r="D961">
        <v>10.766735636758799</v>
      </c>
      <c r="E961">
        <v>92</v>
      </c>
      <c r="F961" t="s">
        <v>89</v>
      </c>
    </row>
    <row r="962" spans="1:6" x14ac:dyDescent="0.2">
      <c r="A962" t="s">
        <v>6</v>
      </c>
      <c r="B962">
        <v>8811.1825951456303</v>
      </c>
      <c r="C962">
        <v>87284.89</v>
      </c>
      <c r="D962">
        <v>10.8302426771005</v>
      </c>
      <c r="E962">
        <v>92</v>
      </c>
      <c r="F962" t="s">
        <v>89</v>
      </c>
    </row>
    <row r="963" spans="1:6" x14ac:dyDescent="0.2">
      <c r="A963" t="s">
        <v>8</v>
      </c>
      <c r="B963">
        <v>9140.2447819595709</v>
      </c>
      <c r="C963">
        <v>48104.78</v>
      </c>
      <c r="D963">
        <v>11.129719878800699</v>
      </c>
      <c r="E963">
        <v>92</v>
      </c>
      <c r="F963" t="s">
        <v>89</v>
      </c>
    </row>
    <row r="964" spans="1:6" x14ac:dyDescent="0.2">
      <c r="A964" t="s">
        <v>6</v>
      </c>
      <c r="B964">
        <v>9445.2701977078395</v>
      </c>
      <c r="C964">
        <v>82690.37</v>
      </c>
      <c r="D964">
        <v>11.220441811847699</v>
      </c>
      <c r="E964">
        <v>92</v>
      </c>
      <c r="F964" t="s">
        <v>89</v>
      </c>
    </row>
    <row r="965" spans="1:6" x14ac:dyDescent="0.2">
      <c r="A965" t="s">
        <v>9</v>
      </c>
      <c r="B965">
        <v>9751.2839378226399</v>
      </c>
      <c r="C965">
        <v>141963.51</v>
      </c>
      <c r="D965">
        <v>11.401891169516199</v>
      </c>
      <c r="E965">
        <v>92</v>
      </c>
      <c r="F965" t="s">
        <v>89</v>
      </c>
    </row>
    <row r="966" spans="1:6" x14ac:dyDescent="0.2">
      <c r="A966" t="s">
        <v>10</v>
      </c>
      <c r="B966">
        <v>10096.3133652013</v>
      </c>
      <c r="C966">
        <v>24645.29</v>
      </c>
      <c r="D966">
        <v>11.4608730450948</v>
      </c>
      <c r="E966">
        <v>92</v>
      </c>
      <c r="F966" t="s">
        <v>89</v>
      </c>
    </row>
    <row r="967" spans="1:6" x14ac:dyDescent="0.2">
      <c r="A967" t="s">
        <v>9</v>
      </c>
      <c r="B967">
        <v>10402.382301993701</v>
      </c>
      <c r="C967">
        <v>71976.160000000003</v>
      </c>
      <c r="D967">
        <v>11.637894735304499</v>
      </c>
      <c r="E967">
        <v>92</v>
      </c>
      <c r="F967" t="s">
        <v>89</v>
      </c>
    </row>
    <row r="968" spans="1:6" x14ac:dyDescent="0.2">
      <c r="A968" t="s">
        <v>9</v>
      </c>
      <c r="B968">
        <v>10708.418342597601</v>
      </c>
      <c r="C968">
        <v>43141.120000000003</v>
      </c>
      <c r="D968">
        <v>11.760499419339499</v>
      </c>
      <c r="E968">
        <v>92</v>
      </c>
      <c r="F968" t="s">
        <v>89</v>
      </c>
    </row>
    <row r="969" spans="1:6" x14ac:dyDescent="0.2">
      <c r="A969" t="s">
        <v>6</v>
      </c>
      <c r="B969">
        <v>11013.427276406301</v>
      </c>
      <c r="C969">
        <v>38048.51</v>
      </c>
      <c r="D969">
        <v>11.7014509017944</v>
      </c>
      <c r="E969">
        <v>92</v>
      </c>
      <c r="F969" t="s">
        <v>89</v>
      </c>
    </row>
    <row r="970" spans="1:6" x14ac:dyDescent="0.2">
      <c r="A970" t="s">
        <v>8</v>
      </c>
      <c r="B970">
        <v>11342.4809874615</v>
      </c>
      <c r="C970">
        <v>59946.13</v>
      </c>
      <c r="D970">
        <v>11.969374020465199</v>
      </c>
      <c r="E970">
        <v>92</v>
      </c>
      <c r="F970" t="s">
        <v>89</v>
      </c>
    </row>
    <row r="971" spans="1:6" x14ac:dyDescent="0.2">
      <c r="A971" t="s">
        <v>8</v>
      </c>
      <c r="B971">
        <v>11671.550301127199</v>
      </c>
      <c r="C971">
        <v>68996.179999999993</v>
      </c>
      <c r="D971">
        <v>12.1827950771332</v>
      </c>
      <c r="E971">
        <v>92</v>
      </c>
      <c r="F971" t="s">
        <v>89</v>
      </c>
    </row>
    <row r="972" spans="1:6" x14ac:dyDescent="0.2">
      <c r="A972" t="s">
        <v>6</v>
      </c>
      <c r="B972">
        <v>2315.3009036356898</v>
      </c>
      <c r="C972">
        <v>130102.59</v>
      </c>
      <c r="D972">
        <v>0.89764954404830899</v>
      </c>
      <c r="E972">
        <v>93</v>
      </c>
      <c r="F972" t="s">
        <v>90</v>
      </c>
    </row>
    <row r="973" spans="1:6" x14ac:dyDescent="0.2">
      <c r="A973" t="s">
        <v>9</v>
      </c>
      <c r="B973">
        <v>2620.3384738152699</v>
      </c>
      <c r="C973">
        <v>263283.07</v>
      </c>
      <c r="D973">
        <v>0.98799588637351998</v>
      </c>
      <c r="E973">
        <v>93</v>
      </c>
      <c r="F973" t="s">
        <v>90</v>
      </c>
    </row>
    <row r="974" spans="1:6" x14ac:dyDescent="0.2">
      <c r="A974" t="s">
        <v>9</v>
      </c>
      <c r="B974">
        <v>2926.3714408382498</v>
      </c>
      <c r="C974">
        <v>142719.94</v>
      </c>
      <c r="D974">
        <v>1.259041370519</v>
      </c>
      <c r="E974">
        <v>93</v>
      </c>
      <c r="F974" t="s">
        <v>90</v>
      </c>
    </row>
    <row r="975" spans="1:6" x14ac:dyDescent="0.2">
      <c r="A975" t="s">
        <v>6</v>
      </c>
      <c r="B975">
        <v>3232.3959214797901</v>
      </c>
      <c r="C975">
        <v>94994.79</v>
      </c>
      <c r="D975">
        <v>2.3071085945447298</v>
      </c>
      <c r="E975">
        <v>93</v>
      </c>
      <c r="F975" t="s">
        <v>90</v>
      </c>
    </row>
    <row r="976" spans="1:6" x14ac:dyDescent="0.2">
      <c r="A976" t="s">
        <v>6</v>
      </c>
      <c r="B976">
        <v>3537.44046503338</v>
      </c>
      <c r="C976">
        <v>114579.8</v>
      </c>
      <c r="D976">
        <v>3.2376956180413599</v>
      </c>
      <c r="E976">
        <v>93</v>
      </c>
      <c r="F976" t="s">
        <v>90</v>
      </c>
    </row>
    <row r="977" spans="1:6" x14ac:dyDescent="0.2">
      <c r="A977" t="s">
        <v>6</v>
      </c>
      <c r="B977">
        <v>3842.4805374634302</v>
      </c>
      <c r="C977">
        <v>99115.69</v>
      </c>
      <c r="D977">
        <v>4.1412692184925097</v>
      </c>
      <c r="E977">
        <v>93</v>
      </c>
      <c r="F977" t="s">
        <v>90</v>
      </c>
    </row>
    <row r="978" spans="1:6" x14ac:dyDescent="0.2">
      <c r="A978" t="s">
        <v>6</v>
      </c>
      <c r="B978">
        <v>4147.5491132694397</v>
      </c>
      <c r="C978">
        <v>209454.97</v>
      </c>
      <c r="D978">
        <v>6.6631430204391497</v>
      </c>
      <c r="E978">
        <v>93</v>
      </c>
      <c r="F978" t="s">
        <v>90</v>
      </c>
    </row>
    <row r="979" spans="1:6" x14ac:dyDescent="0.2">
      <c r="A979" t="s">
        <v>6</v>
      </c>
      <c r="B979">
        <v>4452.5974401960802</v>
      </c>
      <c r="C979">
        <v>279432.08</v>
      </c>
      <c r="D979">
        <v>7.1107762113889104</v>
      </c>
      <c r="E979">
        <v>93</v>
      </c>
      <c r="F979" t="s">
        <v>90</v>
      </c>
    </row>
    <row r="980" spans="1:6" x14ac:dyDescent="0.2">
      <c r="A980" t="s">
        <v>8</v>
      </c>
      <c r="B980">
        <v>4757.6321808801604</v>
      </c>
      <c r="C980">
        <v>275243.62</v>
      </c>
      <c r="D980">
        <v>7.1107762113889104</v>
      </c>
      <c r="E980">
        <v>93</v>
      </c>
      <c r="F980" t="s">
        <v>90</v>
      </c>
    </row>
    <row r="981" spans="1:6" x14ac:dyDescent="0.2">
      <c r="A981" t="s">
        <v>10</v>
      </c>
      <c r="B981">
        <v>5086.6557440239503</v>
      </c>
      <c r="C981">
        <v>265365.53000000003</v>
      </c>
      <c r="D981">
        <v>7.7124150033473997</v>
      </c>
      <c r="E981">
        <v>93</v>
      </c>
      <c r="F981" t="s">
        <v>90</v>
      </c>
    </row>
    <row r="982" spans="1:6" x14ac:dyDescent="0.2">
      <c r="A982" t="s">
        <v>11</v>
      </c>
      <c r="B982">
        <v>5431.6962887889104</v>
      </c>
      <c r="C982">
        <v>342294.73</v>
      </c>
      <c r="D982">
        <v>8.0382720863501191</v>
      </c>
      <c r="E982">
        <v>93</v>
      </c>
      <c r="F982" t="s">
        <v>90</v>
      </c>
    </row>
    <row r="983" spans="1:6" x14ac:dyDescent="0.2">
      <c r="A983" t="s">
        <v>9</v>
      </c>
      <c r="B983">
        <v>5285.7668894857597</v>
      </c>
      <c r="C983">
        <v>75366.25</v>
      </c>
      <c r="D983">
        <v>8.3370868519624093</v>
      </c>
      <c r="E983">
        <v>94</v>
      </c>
      <c r="F983" t="s">
        <v>91</v>
      </c>
    </row>
    <row r="984" spans="1:6" x14ac:dyDescent="0.2">
      <c r="A984" t="s">
        <v>10</v>
      </c>
      <c r="B984">
        <v>5591.7852062642996</v>
      </c>
      <c r="C984">
        <v>340167.37</v>
      </c>
      <c r="D984">
        <v>8.6993728454589796</v>
      </c>
      <c r="E984">
        <v>94</v>
      </c>
      <c r="F984" t="s">
        <v>91</v>
      </c>
    </row>
    <row r="985" spans="1:6" x14ac:dyDescent="0.2">
      <c r="A985" t="s">
        <v>6</v>
      </c>
      <c r="B985">
        <v>5936.8202580841698</v>
      </c>
      <c r="C985">
        <v>85228.32</v>
      </c>
      <c r="D985">
        <v>8.9712946947097798</v>
      </c>
      <c r="E985">
        <v>94</v>
      </c>
      <c r="F985" t="s">
        <v>91</v>
      </c>
    </row>
    <row r="986" spans="1:6" x14ac:dyDescent="0.2">
      <c r="A986" t="s">
        <v>9</v>
      </c>
      <c r="B986">
        <v>6241.8778667063198</v>
      </c>
      <c r="C986">
        <v>254173.86</v>
      </c>
      <c r="D986">
        <v>9.0891361212412498</v>
      </c>
      <c r="E986">
        <v>94</v>
      </c>
      <c r="F986" t="s">
        <v>91</v>
      </c>
    </row>
    <row r="987" spans="1:6" x14ac:dyDescent="0.2">
      <c r="A987" t="s">
        <v>11</v>
      </c>
      <c r="B987">
        <v>6547.90838173886</v>
      </c>
      <c r="C987">
        <v>341693.64</v>
      </c>
      <c r="D987">
        <v>9.3293358858108508</v>
      </c>
      <c r="E987">
        <v>94</v>
      </c>
      <c r="F987" t="s">
        <v>91</v>
      </c>
    </row>
    <row r="988" spans="1:6" x14ac:dyDescent="0.2">
      <c r="A988" t="s">
        <v>8</v>
      </c>
      <c r="B988">
        <v>6876.9255020171904</v>
      </c>
      <c r="C988">
        <v>120127.23</v>
      </c>
      <c r="D988">
        <v>9.9004626706918106</v>
      </c>
      <c r="E988">
        <v>94</v>
      </c>
      <c r="F988" t="s">
        <v>91</v>
      </c>
    </row>
    <row r="989" spans="1:6" x14ac:dyDescent="0.2">
      <c r="A989" t="s">
        <v>10</v>
      </c>
      <c r="B989">
        <v>7221.9680988115997</v>
      </c>
      <c r="C989">
        <v>49759.44</v>
      </c>
      <c r="D989">
        <v>8.1016532953262299</v>
      </c>
      <c r="E989">
        <v>94</v>
      </c>
      <c r="F989" t="s">
        <v>91</v>
      </c>
    </row>
    <row r="990" spans="1:6" x14ac:dyDescent="0.2">
      <c r="A990" t="s">
        <v>11</v>
      </c>
      <c r="B990">
        <v>5788.7255930040401</v>
      </c>
      <c r="C990">
        <v>341502.56</v>
      </c>
      <c r="D990">
        <v>8.2510596112092305</v>
      </c>
      <c r="E990">
        <v>95</v>
      </c>
      <c r="F990" t="s">
        <v>92</v>
      </c>
    </row>
    <row r="991" spans="1:6" x14ac:dyDescent="0.2">
      <c r="A991" t="s">
        <v>6</v>
      </c>
      <c r="B991">
        <v>6093.7847502021104</v>
      </c>
      <c r="C991">
        <v>93481.89</v>
      </c>
      <c r="D991">
        <v>8.4593535021622994</v>
      </c>
      <c r="E991">
        <v>95</v>
      </c>
      <c r="F991" t="s">
        <v>92</v>
      </c>
    </row>
    <row r="992" spans="1:6" x14ac:dyDescent="0.2">
      <c r="A992" t="s">
        <v>8</v>
      </c>
      <c r="B992">
        <v>6422.8338291612999</v>
      </c>
      <c r="C992">
        <v>314263.06</v>
      </c>
      <c r="D992">
        <v>8.9712946947097798</v>
      </c>
      <c r="E992">
        <v>95</v>
      </c>
      <c r="F992" t="s">
        <v>92</v>
      </c>
    </row>
    <row r="993" spans="1:6" x14ac:dyDescent="0.2">
      <c r="A993" t="s">
        <v>8</v>
      </c>
      <c r="B993">
        <v>6751.8825010267101</v>
      </c>
      <c r="C993">
        <v>166854.03</v>
      </c>
      <c r="D993">
        <v>9.3882361785252897</v>
      </c>
      <c r="E993">
        <v>95</v>
      </c>
      <c r="F993" t="s">
        <v>92</v>
      </c>
    </row>
    <row r="994" spans="1:6" x14ac:dyDescent="0.2">
      <c r="A994" t="s">
        <v>10</v>
      </c>
      <c r="B994">
        <v>7096.9271376951901</v>
      </c>
      <c r="C994">
        <v>122748.88</v>
      </c>
      <c r="D994">
        <v>9.5967154518445295</v>
      </c>
      <c r="E994">
        <v>95</v>
      </c>
      <c r="F994" t="s">
        <v>92</v>
      </c>
    </row>
    <row r="995" spans="1:6" x14ac:dyDescent="0.2">
      <c r="A995" t="s">
        <v>6</v>
      </c>
      <c r="B995">
        <v>7401.96133979147</v>
      </c>
      <c r="C995">
        <v>144865.81</v>
      </c>
      <c r="D995">
        <v>9.7780419782479608</v>
      </c>
      <c r="E995">
        <v>95</v>
      </c>
      <c r="F995" t="s">
        <v>92</v>
      </c>
    </row>
    <row r="996" spans="1:6" x14ac:dyDescent="0.2">
      <c r="A996" t="s">
        <v>10</v>
      </c>
      <c r="B996">
        <v>4037.4905815546299</v>
      </c>
      <c r="C996">
        <v>55932.51</v>
      </c>
      <c r="D996">
        <v>5.2529161369482704</v>
      </c>
      <c r="E996">
        <v>96</v>
      </c>
      <c r="F996" t="s">
        <v>93</v>
      </c>
    </row>
    <row r="997" spans="1:6" x14ac:dyDescent="0.2">
      <c r="A997" t="s">
        <v>11</v>
      </c>
      <c r="B997">
        <v>4382.5338889403902</v>
      </c>
      <c r="C997">
        <v>341186.05</v>
      </c>
      <c r="D997">
        <v>5.9127516781965896</v>
      </c>
      <c r="E997">
        <v>96</v>
      </c>
      <c r="F997" t="s">
        <v>93</v>
      </c>
    </row>
    <row r="998" spans="1:6" x14ac:dyDescent="0.2">
      <c r="A998" t="s">
        <v>9</v>
      </c>
      <c r="B998">
        <v>4688.5630775566096</v>
      </c>
      <c r="C998">
        <v>264906.65000000002</v>
      </c>
      <c r="D998">
        <v>6.41902668631871</v>
      </c>
      <c r="E998">
        <v>96</v>
      </c>
      <c r="F998" t="s">
        <v>93</v>
      </c>
    </row>
    <row r="999" spans="1:6" x14ac:dyDescent="0.2">
      <c r="A999" t="s">
        <v>9</v>
      </c>
      <c r="B999">
        <v>4994.5777307454</v>
      </c>
      <c r="C999">
        <v>161034.35999999999</v>
      </c>
      <c r="D999">
        <v>6.8711072182337398</v>
      </c>
      <c r="E999">
        <v>96</v>
      </c>
      <c r="F999" t="s">
        <v>93</v>
      </c>
    </row>
    <row r="1000" spans="1:6" x14ac:dyDescent="0.2">
      <c r="A1000" t="s">
        <v>10</v>
      </c>
      <c r="B1000">
        <v>5339.6380745234701</v>
      </c>
      <c r="C1000">
        <v>199890.79</v>
      </c>
      <c r="D1000">
        <v>7.3188331361293804</v>
      </c>
      <c r="E1000">
        <v>96</v>
      </c>
      <c r="F1000" t="s">
        <v>93</v>
      </c>
    </row>
    <row r="1001" spans="1:6" x14ac:dyDescent="0.2">
      <c r="A1001" t="s">
        <v>9</v>
      </c>
      <c r="B1001">
        <v>5645.6660025831397</v>
      </c>
      <c r="C1001">
        <v>32736.51</v>
      </c>
      <c r="D1001">
        <v>7.6490736877600298</v>
      </c>
      <c r="E1001">
        <v>96</v>
      </c>
      <c r="F1001" t="s">
        <v>93</v>
      </c>
    </row>
    <row r="1002" spans="1:6" x14ac:dyDescent="0.2">
      <c r="A1002" t="s">
        <v>8</v>
      </c>
      <c r="B1002">
        <v>2793.30280162076</v>
      </c>
      <c r="C1002">
        <v>311618</v>
      </c>
      <c r="D1002">
        <v>1.4668493187109599</v>
      </c>
      <c r="E1002">
        <v>98</v>
      </c>
      <c r="F1002" t="s">
        <v>94</v>
      </c>
    </row>
    <row r="1003" spans="1:6" x14ac:dyDescent="0.2">
      <c r="A1003" t="s">
        <v>9</v>
      </c>
      <c r="B1003">
        <v>3122.36031074116</v>
      </c>
      <c r="C1003">
        <v>318557.12</v>
      </c>
      <c r="D1003">
        <v>3.2376956180413599</v>
      </c>
      <c r="E1003">
        <v>98</v>
      </c>
      <c r="F1003" t="s">
        <v>94</v>
      </c>
    </row>
    <row r="1004" spans="1:6" x14ac:dyDescent="0.2">
      <c r="A1004" t="s">
        <v>6</v>
      </c>
      <c r="B1004">
        <v>3428.3838217416601</v>
      </c>
      <c r="C1004">
        <v>284485.84999999998</v>
      </c>
      <c r="D1004">
        <v>4.2587451930522899</v>
      </c>
      <c r="E1004">
        <v>98</v>
      </c>
      <c r="F1004" t="s">
        <v>94</v>
      </c>
    </row>
    <row r="1005" spans="1:6" x14ac:dyDescent="0.2">
      <c r="A1005" t="s">
        <v>11</v>
      </c>
      <c r="B1005">
        <v>3733.4261420647099</v>
      </c>
      <c r="C1005">
        <v>329641.39</v>
      </c>
      <c r="D1005">
        <v>4.8913853780110701</v>
      </c>
      <c r="E1005">
        <v>98</v>
      </c>
      <c r="F1005" t="s">
        <v>94</v>
      </c>
    </row>
    <row r="1006" spans="1:6" x14ac:dyDescent="0.2">
      <c r="A1006" t="s">
        <v>9</v>
      </c>
      <c r="B1006">
        <v>4039.4553366703799</v>
      </c>
      <c r="C1006">
        <v>127486.14</v>
      </c>
      <c r="D1006">
        <v>5.5511773522377004</v>
      </c>
      <c r="E1006">
        <v>98</v>
      </c>
      <c r="F1006" t="s">
        <v>94</v>
      </c>
    </row>
    <row r="1007" spans="1:6" x14ac:dyDescent="0.2">
      <c r="A1007" t="s">
        <v>8</v>
      </c>
      <c r="B1007">
        <v>4368.5082266006502</v>
      </c>
      <c r="C1007">
        <v>49658.57</v>
      </c>
      <c r="D1007">
        <v>6.41902668631871</v>
      </c>
      <c r="E1007">
        <v>98</v>
      </c>
      <c r="F1007" t="s">
        <v>94</v>
      </c>
    </row>
    <row r="1008" spans="1:6" x14ac:dyDescent="0.2">
      <c r="A1008" t="s">
        <v>10</v>
      </c>
      <c r="B1008">
        <v>4713.5674536016504</v>
      </c>
      <c r="C1008">
        <v>88431.53</v>
      </c>
      <c r="D1008">
        <v>6.8711072182337398</v>
      </c>
      <c r="E1008">
        <v>98</v>
      </c>
      <c r="F1008" t="s">
        <v>94</v>
      </c>
    </row>
    <row r="1009" spans="1:6" x14ac:dyDescent="0.2">
      <c r="A1009" t="s">
        <v>9</v>
      </c>
      <c r="B1009">
        <v>7510.0410986188399</v>
      </c>
      <c r="C1009">
        <v>308912.94</v>
      </c>
      <c r="D1009">
        <v>10.231469952631</v>
      </c>
      <c r="E1009">
        <v>100</v>
      </c>
      <c r="F1009" t="s">
        <v>95</v>
      </c>
    </row>
    <row r="1010" spans="1:6" x14ac:dyDescent="0.2">
      <c r="A1010" t="s">
        <v>6</v>
      </c>
      <c r="B1010">
        <v>7816.0688754841103</v>
      </c>
      <c r="C1010">
        <v>287344.09999999998</v>
      </c>
      <c r="D1010">
        <v>10.4673234378974</v>
      </c>
      <c r="E1010">
        <v>100</v>
      </c>
      <c r="F1010" t="s">
        <v>95</v>
      </c>
    </row>
    <row r="1011" spans="1:6" x14ac:dyDescent="0.2">
      <c r="A1011" t="s">
        <v>11</v>
      </c>
      <c r="B1011">
        <v>8121.0876112410597</v>
      </c>
      <c r="C1011">
        <v>319913.03999999998</v>
      </c>
      <c r="D1011">
        <v>10.5898025528272</v>
      </c>
      <c r="E1011">
        <v>100</v>
      </c>
      <c r="F1011" t="s">
        <v>95</v>
      </c>
    </row>
    <row r="1012" spans="1:6" x14ac:dyDescent="0.2">
      <c r="A1012" t="s">
        <v>10</v>
      </c>
      <c r="B1012">
        <v>8466.1321658634897</v>
      </c>
      <c r="C1012">
        <v>190516.65</v>
      </c>
      <c r="D1012">
        <v>10.6805319285075</v>
      </c>
      <c r="E1012">
        <v>100</v>
      </c>
      <c r="F1012" t="s">
        <v>95</v>
      </c>
    </row>
    <row r="1013" spans="1:6" x14ac:dyDescent="0.2">
      <c r="A1013" t="s">
        <v>8</v>
      </c>
      <c r="B1013">
        <v>8795.2034134874793</v>
      </c>
      <c r="C1013">
        <v>60121.3</v>
      </c>
      <c r="D1013">
        <v>11.0117443616867</v>
      </c>
      <c r="E1013">
        <v>100</v>
      </c>
      <c r="F1013" t="s">
        <v>95</v>
      </c>
    </row>
    <row r="1014" spans="1:6" x14ac:dyDescent="0.2">
      <c r="A1014" t="s">
        <v>8</v>
      </c>
      <c r="B1014">
        <v>2056.3069798818601</v>
      </c>
      <c r="C1014">
        <v>32439.73</v>
      </c>
      <c r="D1014">
        <v>0.89764954404830899</v>
      </c>
      <c r="E1014">
        <v>101</v>
      </c>
      <c r="F1014" t="s">
        <v>96</v>
      </c>
    </row>
    <row r="1015" spans="1:6" x14ac:dyDescent="0.2">
      <c r="A1015" t="s">
        <v>6</v>
      </c>
      <c r="B1015">
        <v>2385.35980303938</v>
      </c>
      <c r="C1015">
        <v>14243.7</v>
      </c>
      <c r="D1015">
        <v>1.34938816981316</v>
      </c>
      <c r="E1015">
        <v>101</v>
      </c>
      <c r="F1015" t="s">
        <v>96</v>
      </c>
    </row>
    <row r="1016" spans="1:6" x14ac:dyDescent="0.2">
      <c r="A1016" t="s">
        <v>10</v>
      </c>
      <c r="B1016">
        <v>2690.4019361248502</v>
      </c>
      <c r="C1016">
        <v>198707.54</v>
      </c>
      <c r="D1016">
        <v>1.7107927099545801</v>
      </c>
      <c r="E1016">
        <v>101</v>
      </c>
      <c r="F1016" t="s">
        <v>96</v>
      </c>
    </row>
    <row r="1017" spans="1:6" x14ac:dyDescent="0.2">
      <c r="A1017" t="s">
        <v>8</v>
      </c>
      <c r="B1017">
        <v>3035.4509886444398</v>
      </c>
      <c r="C1017">
        <v>33484.300000000003</v>
      </c>
      <c r="D1017">
        <v>3.3912873859882402</v>
      </c>
      <c r="E1017">
        <v>101</v>
      </c>
      <c r="F1017" t="s">
        <v>96</v>
      </c>
    </row>
    <row r="1018" spans="1:6" x14ac:dyDescent="0.2">
      <c r="A1018" t="s">
        <v>9</v>
      </c>
      <c r="B1018">
        <v>3364.5028825456202</v>
      </c>
      <c r="C1018">
        <v>114612.33</v>
      </c>
      <c r="D1018">
        <v>4.5298796192487103</v>
      </c>
      <c r="E1018">
        <v>101</v>
      </c>
      <c r="F1018" t="s">
        <v>96</v>
      </c>
    </row>
    <row r="1019" spans="1:6" x14ac:dyDescent="0.2">
      <c r="A1019" t="s">
        <v>6</v>
      </c>
      <c r="B1019">
        <v>3670.5364168759902</v>
      </c>
      <c r="C1019">
        <v>303437.53999999998</v>
      </c>
      <c r="D1019">
        <v>5.3071398452599796</v>
      </c>
      <c r="E1019">
        <v>101</v>
      </c>
      <c r="F1019" t="s">
        <v>96</v>
      </c>
    </row>
    <row r="1020" spans="1:6" x14ac:dyDescent="0.2">
      <c r="A1020" t="s">
        <v>6</v>
      </c>
      <c r="B1020">
        <v>3975.5682141311499</v>
      </c>
      <c r="C1020">
        <v>55618.89</v>
      </c>
      <c r="D1020">
        <v>5.6099234874725301</v>
      </c>
      <c r="E1020">
        <v>101</v>
      </c>
      <c r="F1020" t="s">
        <v>96</v>
      </c>
    </row>
    <row r="1021" spans="1:6" x14ac:dyDescent="0.2">
      <c r="A1021" t="s">
        <v>8</v>
      </c>
      <c r="B1021">
        <v>4280.6100213895197</v>
      </c>
      <c r="C1021">
        <v>78644.509999999995</v>
      </c>
      <c r="D1021">
        <v>6.17943720377286</v>
      </c>
      <c r="E1021">
        <v>101</v>
      </c>
      <c r="F1021" t="s">
        <v>96</v>
      </c>
    </row>
    <row r="1022" spans="1:6" x14ac:dyDescent="0.2">
      <c r="A1022" t="s">
        <v>9</v>
      </c>
      <c r="B1022">
        <v>4609.6215799288502</v>
      </c>
      <c r="C1022">
        <v>31073.200000000001</v>
      </c>
      <c r="D1022">
        <v>6.7173964198112497</v>
      </c>
      <c r="E1022">
        <v>101</v>
      </c>
      <c r="F1022" t="s">
        <v>96</v>
      </c>
    </row>
    <row r="1023" spans="1:6" x14ac:dyDescent="0.2">
      <c r="A1023" t="s">
        <v>9</v>
      </c>
      <c r="B1023">
        <v>4915.68296388401</v>
      </c>
      <c r="C1023">
        <v>285364.15999999997</v>
      </c>
      <c r="D1023">
        <v>7.3188331361293804</v>
      </c>
      <c r="E1023">
        <v>101</v>
      </c>
      <c r="F1023" t="s">
        <v>96</v>
      </c>
    </row>
    <row r="1024" spans="1:6" x14ac:dyDescent="0.2">
      <c r="A1024" t="s">
        <v>8</v>
      </c>
      <c r="B1024">
        <v>5221.7408627732502</v>
      </c>
      <c r="C1024">
        <v>203091.97</v>
      </c>
      <c r="D1024">
        <v>8.0699638203461994</v>
      </c>
      <c r="E1024">
        <v>101</v>
      </c>
      <c r="F1024" t="s">
        <v>96</v>
      </c>
    </row>
    <row r="1025" spans="1:6" x14ac:dyDescent="0.2">
      <c r="A1025" t="s">
        <v>11</v>
      </c>
      <c r="B1025">
        <v>5550.7855795569103</v>
      </c>
      <c r="C1025">
        <v>316412.05</v>
      </c>
      <c r="D1025">
        <v>8.6721980766137392</v>
      </c>
      <c r="E1025">
        <v>101</v>
      </c>
      <c r="F1025" t="s">
        <v>96</v>
      </c>
    </row>
    <row r="1026" spans="1:6" x14ac:dyDescent="0.2">
      <c r="A1026" t="s">
        <v>11</v>
      </c>
      <c r="B1026">
        <v>7634.9893423153899</v>
      </c>
      <c r="C1026">
        <v>311849.2</v>
      </c>
      <c r="D1026">
        <v>10.1090243613402</v>
      </c>
      <c r="E1026">
        <v>102</v>
      </c>
      <c r="F1026" t="s">
        <v>97</v>
      </c>
    </row>
    <row r="1027" spans="1:6" x14ac:dyDescent="0.2">
      <c r="A1027" t="s">
        <v>9</v>
      </c>
      <c r="B1027">
        <v>7941.0281741148201</v>
      </c>
      <c r="C1027">
        <v>79757.259999999995</v>
      </c>
      <c r="D1027">
        <v>10.290441043742501</v>
      </c>
      <c r="E1027">
        <v>102</v>
      </c>
      <c r="F1027" t="s">
        <v>97</v>
      </c>
    </row>
    <row r="1028" spans="1:6" x14ac:dyDescent="0.2">
      <c r="A1028" t="s">
        <v>10</v>
      </c>
      <c r="B1028">
        <v>8286.0667249675698</v>
      </c>
      <c r="C1028">
        <v>70096.44</v>
      </c>
      <c r="D1028">
        <v>10.4673234378974</v>
      </c>
      <c r="E1028">
        <v>102</v>
      </c>
      <c r="F1028" t="s">
        <v>97</v>
      </c>
    </row>
    <row r="1029" spans="1:6" x14ac:dyDescent="0.2">
      <c r="A1029" t="s">
        <v>10</v>
      </c>
      <c r="B1029">
        <v>8631.1239631368608</v>
      </c>
      <c r="C1029">
        <v>178195.63</v>
      </c>
      <c r="D1029">
        <v>10.558054118919401</v>
      </c>
      <c r="E1029">
        <v>102</v>
      </c>
      <c r="F1029" t="s">
        <v>97</v>
      </c>
    </row>
    <row r="1030" spans="1:6" x14ac:dyDescent="0.2">
      <c r="A1030" t="s">
        <v>9</v>
      </c>
      <c r="B1030">
        <v>8937.1560782346605</v>
      </c>
      <c r="C1030">
        <v>39338.18</v>
      </c>
      <c r="D1030">
        <v>10.948215168285399</v>
      </c>
      <c r="E1030">
        <v>102</v>
      </c>
      <c r="F1030" t="s">
        <v>97</v>
      </c>
    </row>
    <row r="1031" spans="1:6" x14ac:dyDescent="0.2">
      <c r="A1031" t="s">
        <v>8</v>
      </c>
      <c r="B1031">
        <v>9266.2038560552101</v>
      </c>
      <c r="C1031">
        <v>57534.81</v>
      </c>
      <c r="D1031">
        <v>11.129719878800699</v>
      </c>
      <c r="E1031">
        <v>102</v>
      </c>
      <c r="F1031" t="s">
        <v>97</v>
      </c>
    </row>
    <row r="1032" spans="1:6" x14ac:dyDescent="0.2">
      <c r="A1032" t="s">
        <v>10</v>
      </c>
      <c r="B1032">
        <v>9611.2253529402096</v>
      </c>
      <c r="C1032">
        <v>67811.16</v>
      </c>
      <c r="D1032">
        <v>11.220441811847699</v>
      </c>
      <c r="E1032">
        <v>102</v>
      </c>
      <c r="F1032" t="s">
        <v>97</v>
      </c>
    </row>
    <row r="1033" spans="1:6" x14ac:dyDescent="0.2">
      <c r="A1033" t="s">
        <v>10</v>
      </c>
      <c r="B1033">
        <v>9956.3006114975306</v>
      </c>
      <c r="C1033">
        <v>54360.82</v>
      </c>
      <c r="D1033">
        <v>11.2794166938146</v>
      </c>
      <c r="E1033">
        <v>102</v>
      </c>
      <c r="F1033" t="s">
        <v>97</v>
      </c>
    </row>
    <row r="1034" spans="1:6" x14ac:dyDescent="0.2">
      <c r="A1034" t="s">
        <v>9</v>
      </c>
      <c r="B1034">
        <v>2022.2989969103</v>
      </c>
      <c r="C1034">
        <v>108773.83</v>
      </c>
      <c r="D1034">
        <v>0.98799588637351998</v>
      </c>
      <c r="E1034">
        <v>104</v>
      </c>
      <c r="F1034" t="s">
        <v>98</v>
      </c>
    </row>
    <row r="1035" spans="1:6" x14ac:dyDescent="0.2">
      <c r="A1035" t="s">
        <v>6</v>
      </c>
      <c r="B1035">
        <v>2328.3371620848502</v>
      </c>
      <c r="C1035">
        <v>76411.960000000006</v>
      </c>
      <c r="D1035">
        <v>1.1686931864102701</v>
      </c>
      <c r="E1035">
        <v>104</v>
      </c>
      <c r="F1035" t="s">
        <v>98</v>
      </c>
    </row>
    <row r="1036" spans="1:6" x14ac:dyDescent="0.2">
      <c r="A1036" t="s">
        <v>9</v>
      </c>
      <c r="B1036">
        <v>2633.3756525376498</v>
      </c>
      <c r="C1036">
        <v>279586.96000000002</v>
      </c>
      <c r="D1036">
        <v>1.4126355623881</v>
      </c>
      <c r="E1036">
        <v>104</v>
      </c>
      <c r="F1036" t="s">
        <v>98</v>
      </c>
    </row>
    <row r="1037" spans="1:6" x14ac:dyDescent="0.2">
      <c r="A1037" t="s">
        <v>6</v>
      </c>
      <c r="B1037">
        <v>2939.4072229878898</v>
      </c>
      <c r="C1037">
        <v>251822.32</v>
      </c>
      <c r="D1037">
        <v>2.5194350695292198</v>
      </c>
      <c r="E1037">
        <v>104</v>
      </c>
      <c r="F1037" t="s">
        <v>98</v>
      </c>
    </row>
    <row r="1038" spans="1:6" x14ac:dyDescent="0.2">
      <c r="A1038" t="s">
        <v>10</v>
      </c>
      <c r="B1038">
        <v>3244.4373136091699</v>
      </c>
      <c r="C1038">
        <v>228510.61</v>
      </c>
      <c r="D1038">
        <v>3.5087410445690201</v>
      </c>
      <c r="E1038">
        <v>104</v>
      </c>
      <c r="F1038" t="s">
        <v>98</v>
      </c>
    </row>
    <row r="1039" spans="1:6" x14ac:dyDescent="0.2">
      <c r="A1039" t="s">
        <v>9</v>
      </c>
      <c r="B1039">
        <v>3589.4783581599299</v>
      </c>
      <c r="C1039">
        <v>157242.74</v>
      </c>
      <c r="D1039">
        <v>4.5931445117473597</v>
      </c>
      <c r="E1039">
        <v>104</v>
      </c>
      <c r="F1039" t="s">
        <v>98</v>
      </c>
    </row>
    <row r="1040" spans="1:6" x14ac:dyDescent="0.2">
      <c r="A1040" t="s">
        <v>10</v>
      </c>
      <c r="B1040">
        <v>3895.5084609116898</v>
      </c>
      <c r="C1040">
        <v>282625.78999999998</v>
      </c>
      <c r="D1040">
        <v>5.2529161369482704</v>
      </c>
      <c r="E1040">
        <v>104</v>
      </c>
      <c r="F1040" t="s">
        <v>98</v>
      </c>
    </row>
    <row r="1041" spans="1:6" x14ac:dyDescent="0.2">
      <c r="A1041" t="s">
        <v>9</v>
      </c>
      <c r="B1041">
        <v>4240.5642099595498</v>
      </c>
      <c r="C1041">
        <v>169909.57</v>
      </c>
      <c r="D1041">
        <v>5.9127516781965896</v>
      </c>
      <c r="E1041">
        <v>104</v>
      </c>
      <c r="F1041" t="s">
        <v>98</v>
      </c>
    </row>
    <row r="1042" spans="1:6" x14ac:dyDescent="0.2">
      <c r="A1042" t="s">
        <v>9</v>
      </c>
      <c r="B1042">
        <v>4546.5966994267901</v>
      </c>
      <c r="C1042">
        <v>255236.76</v>
      </c>
      <c r="D1042">
        <v>6.4823198870499903</v>
      </c>
      <c r="E1042">
        <v>104</v>
      </c>
      <c r="F1042" t="s">
        <v>98</v>
      </c>
    </row>
    <row r="1043" spans="1:6" x14ac:dyDescent="0.2">
      <c r="A1043" t="s">
        <v>11</v>
      </c>
      <c r="B1043">
        <v>4852.6291267746601</v>
      </c>
      <c r="C1043">
        <v>304930.84000000003</v>
      </c>
      <c r="D1043">
        <v>6.9298931951999698</v>
      </c>
      <c r="E1043">
        <v>104</v>
      </c>
      <c r="F1043" t="s">
        <v>98</v>
      </c>
    </row>
    <row r="1044" spans="1:6" x14ac:dyDescent="0.2">
      <c r="A1044" t="s">
        <v>8</v>
      </c>
      <c r="B1044">
        <v>1857.2167149141801</v>
      </c>
      <c r="C1044">
        <v>199925.42</v>
      </c>
      <c r="D1044">
        <v>0.75310868577957202</v>
      </c>
      <c r="E1044">
        <v>105</v>
      </c>
      <c r="F1044" t="s">
        <v>99</v>
      </c>
    </row>
    <row r="1045" spans="1:6" x14ac:dyDescent="0.2">
      <c r="A1045" t="s">
        <v>11</v>
      </c>
      <c r="B1045">
        <v>2186.2725149590801</v>
      </c>
      <c r="C1045">
        <v>300339.90999999997</v>
      </c>
      <c r="D1045">
        <v>0.96089091854095499</v>
      </c>
      <c r="E1045">
        <v>105</v>
      </c>
      <c r="F1045" t="s">
        <v>99</v>
      </c>
    </row>
    <row r="1046" spans="1:6" x14ac:dyDescent="0.2">
      <c r="A1046" t="s">
        <v>6</v>
      </c>
      <c r="B1046">
        <v>2491.31023089061</v>
      </c>
      <c r="C1046">
        <v>171995</v>
      </c>
      <c r="D1046">
        <v>1.29066340284348</v>
      </c>
      <c r="E1046">
        <v>105</v>
      </c>
      <c r="F1046" t="s">
        <v>99</v>
      </c>
    </row>
    <row r="1047" spans="1:6" x14ac:dyDescent="0.2">
      <c r="A1047" t="s">
        <v>6</v>
      </c>
      <c r="B1047">
        <v>2796.3417903080299</v>
      </c>
      <c r="C1047">
        <v>76797.490000000005</v>
      </c>
      <c r="D1047">
        <v>1.259041370519</v>
      </c>
      <c r="E1047">
        <v>105</v>
      </c>
      <c r="F1047" t="s">
        <v>99</v>
      </c>
    </row>
    <row r="1048" spans="1:6" x14ac:dyDescent="0.2">
      <c r="A1048" t="s">
        <v>10</v>
      </c>
      <c r="B1048">
        <v>3141.3894489854802</v>
      </c>
      <c r="C1048">
        <v>125798.94</v>
      </c>
      <c r="D1048">
        <v>2.2800053115367902</v>
      </c>
      <c r="E1048">
        <v>105</v>
      </c>
      <c r="F1048" t="s">
        <v>99</v>
      </c>
    </row>
    <row r="1049" spans="1:6" x14ac:dyDescent="0.2">
      <c r="A1049" t="s">
        <v>8</v>
      </c>
      <c r="B1049">
        <v>3470.4427453793101</v>
      </c>
      <c r="C1049">
        <v>36951.769999999997</v>
      </c>
      <c r="D1049">
        <v>3.8972981528123198</v>
      </c>
      <c r="E1049">
        <v>105</v>
      </c>
      <c r="F1049" t="s">
        <v>99</v>
      </c>
    </row>
    <row r="1050" spans="1:6" x14ac:dyDescent="0.2">
      <c r="A1050" t="s">
        <v>8</v>
      </c>
      <c r="B1050">
        <v>3799.4904583307998</v>
      </c>
      <c r="C1050">
        <v>84016.28</v>
      </c>
      <c r="D1050">
        <v>5.4879047031879402</v>
      </c>
      <c r="E1050">
        <v>105</v>
      </c>
      <c r="F1050" t="s">
        <v>99</v>
      </c>
    </row>
    <row r="1051" spans="1:6" x14ac:dyDescent="0.2">
      <c r="A1051" t="s">
        <v>10</v>
      </c>
      <c r="B1051">
        <v>4144.5323428747997</v>
      </c>
      <c r="C1051">
        <v>179962.7</v>
      </c>
      <c r="D1051">
        <v>5.8494748866240203</v>
      </c>
      <c r="E1051">
        <v>105</v>
      </c>
      <c r="F1051" t="s">
        <v>99</v>
      </c>
    </row>
    <row r="1052" spans="1:6" x14ac:dyDescent="0.2">
      <c r="A1052" t="s">
        <v>10</v>
      </c>
      <c r="B1052">
        <v>4489.5854562080103</v>
      </c>
      <c r="C1052">
        <v>229399.6</v>
      </c>
      <c r="D1052">
        <v>6.41902668631871</v>
      </c>
      <c r="E1052">
        <v>105</v>
      </c>
      <c r="F1052" t="s">
        <v>99</v>
      </c>
    </row>
    <row r="1053" spans="1:6" x14ac:dyDescent="0.2">
      <c r="A1053" t="s">
        <v>8</v>
      </c>
      <c r="B1053">
        <v>4818.6243283619697</v>
      </c>
      <c r="C1053">
        <v>254708.72</v>
      </c>
      <c r="D1053">
        <v>7.1424336369514503</v>
      </c>
      <c r="E1053">
        <v>105</v>
      </c>
      <c r="F1053" t="s">
        <v>99</v>
      </c>
    </row>
    <row r="1054" spans="1:6" x14ac:dyDescent="0.2">
      <c r="A1054" t="s">
        <v>8</v>
      </c>
      <c r="B1054">
        <v>5147.6769605282698</v>
      </c>
      <c r="C1054">
        <v>124311.69</v>
      </c>
      <c r="D1054">
        <v>7.8572145278930696</v>
      </c>
      <c r="E1054">
        <v>105</v>
      </c>
      <c r="F1054" t="s">
        <v>99</v>
      </c>
    </row>
    <row r="1055" spans="1:6" x14ac:dyDescent="0.2">
      <c r="A1055" t="s">
        <v>9</v>
      </c>
      <c r="B1055">
        <v>5453.7141302048403</v>
      </c>
      <c r="C1055">
        <v>143472.72</v>
      </c>
      <c r="D1055">
        <v>8.0699638203461994</v>
      </c>
      <c r="E1055">
        <v>105</v>
      </c>
      <c r="F1055" t="s">
        <v>99</v>
      </c>
    </row>
    <row r="1056" spans="1:6" x14ac:dyDescent="0.2">
      <c r="A1056" t="s">
        <v>10</v>
      </c>
      <c r="B1056">
        <v>5798.76938072543</v>
      </c>
      <c r="C1056">
        <v>117622.37</v>
      </c>
      <c r="D1056">
        <v>8.3733119284788806</v>
      </c>
      <c r="E1056">
        <v>105</v>
      </c>
      <c r="F1056" t="s">
        <v>99</v>
      </c>
    </row>
    <row r="1057" spans="1:6" x14ac:dyDescent="0.2">
      <c r="A1057" t="s">
        <v>9</v>
      </c>
      <c r="B1057">
        <v>6104.81453156309</v>
      </c>
      <c r="C1057">
        <v>103930.9</v>
      </c>
      <c r="D1057">
        <v>8.8171853279749506</v>
      </c>
      <c r="E1057">
        <v>105</v>
      </c>
      <c r="F1057" t="s">
        <v>99</v>
      </c>
    </row>
    <row r="1058" spans="1:6" x14ac:dyDescent="0.2">
      <c r="A1058" t="s">
        <v>6</v>
      </c>
      <c r="B1058">
        <v>2329.3560818494002</v>
      </c>
      <c r="C1058">
        <v>142980.68</v>
      </c>
      <c r="D1058">
        <v>1.32228308674494</v>
      </c>
      <c r="E1058">
        <v>106</v>
      </c>
      <c r="F1058" t="s">
        <v>100</v>
      </c>
    </row>
    <row r="1059" spans="1:6" x14ac:dyDescent="0.2">
      <c r="A1059" t="s">
        <v>9</v>
      </c>
      <c r="B1059">
        <v>2634.3789578424498</v>
      </c>
      <c r="C1059">
        <v>103635.53</v>
      </c>
      <c r="D1059">
        <v>1.8915003275553399</v>
      </c>
      <c r="E1059">
        <v>106</v>
      </c>
      <c r="F1059" t="s">
        <v>100</v>
      </c>
    </row>
    <row r="1060" spans="1:6" x14ac:dyDescent="0.2">
      <c r="A1060" t="s">
        <v>8</v>
      </c>
      <c r="B1060">
        <v>2940.4201948679101</v>
      </c>
      <c r="C1060">
        <v>163791.57</v>
      </c>
      <c r="D1060">
        <v>3.1789744869550098</v>
      </c>
      <c r="E1060">
        <v>106</v>
      </c>
      <c r="F1060" t="s">
        <v>100</v>
      </c>
    </row>
    <row r="1061" spans="1:6" x14ac:dyDescent="0.2">
      <c r="A1061" t="s">
        <v>8</v>
      </c>
      <c r="B1061">
        <v>3269.4715378548699</v>
      </c>
      <c r="C1061">
        <v>182524.82</v>
      </c>
      <c r="D1061">
        <v>4.5569924191315998</v>
      </c>
      <c r="E1061">
        <v>106</v>
      </c>
      <c r="F1061" t="s">
        <v>100</v>
      </c>
    </row>
    <row r="1062" spans="1:6" x14ac:dyDescent="0.2">
      <c r="A1062" t="s">
        <v>10</v>
      </c>
      <c r="B1062">
        <v>3598.5278395881701</v>
      </c>
      <c r="C1062">
        <v>282035.25</v>
      </c>
      <c r="D1062">
        <v>6.0573838130315103</v>
      </c>
      <c r="E1062">
        <v>106</v>
      </c>
      <c r="F1062" t="s">
        <v>100</v>
      </c>
    </row>
    <row r="1063" spans="1:6" x14ac:dyDescent="0.2">
      <c r="A1063" t="s">
        <v>11</v>
      </c>
      <c r="B1063">
        <v>3943.5823480828599</v>
      </c>
      <c r="C1063">
        <v>296925.96000000002</v>
      </c>
      <c r="D1063">
        <v>6.5727330104192099</v>
      </c>
      <c r="E1063">
        <v>106</v>
      </c>
      <c r="F1063" t="s">
        <v>100</v>
      </c>
    </row>
    <row r="1064" spans="1:6" x14ac:dyDescent="0.2">
      <c r="A1064" t="s">
        <v>8</v>
      </c>
      <c r="B1064">
        <v>4272.6418355558399</v>
      </c>
      <c r="C1064">
        <v>68236.98</v>
      </c>
      <c r="D1064">
        <v>7.3776465530872297</v>
      </c>
      <c r="E1064">
        <v>106</v>
      </c>
      <c r="F1064" t="s">
        <v>100</v>
      </c>
    </row>
    <row r="1065" spans="1:6" x14ac:dyDescent="0.2">
      <c r="A1065" t="s">
        <v>8</v>
      </c>
      <c r="B1065">
        <v>4601.6890291098598</v>
      </c>
      <c r="C1065">
        <v>38024.300000000003</v>
      </c>
      <c r="D1065">
        <v>7.9477374529520697</v>
      </c>
      <c r="E1065">
        <v>106</v>
      </c>
      <c r="F1065" t="s">
        <v>100</v>
      </c>
    </row>
    <row r="1066" spans="1:6" x14ac:dyDescent="0.2">
      <c r="A1066" t="s">
        <v>6</v>
      </c>
      <c r="B1066">
        <v>7714.9974402002099</v>
      </c>
      <c r="C1066">
        <v>53512.56</v>
      </c>
      <c r="D1066">
        <v>10.4990699445883</v>
      </c>
      <c r="E1066">
        <v>107</v>
      </c>
      <c r="F1066" t="s">
        <v>101</v>
      </c>
    </row>
    <row r="1067" spans="1:6" x14ac:dyDescent="0.2">
      <c r="A1067" t="s">
        <v>11</v>
      </c>
      <c r="B1067">
        <v>8020.0703513824401</v>
      </c>
      <c r="C1067">
        <v>294826.65999999997</v>
      </c>
      <c r="D1067">
        <v>10.376607669957499</v>
      </c>
      <c r="E1067">
        <v>107</v>
      </c>
      <c r="F1067" t="s">
        <v>101</v>
      </c>
    </row>
    <row r="1068" spans="1:6" x14ac:dyDescent="0.2">
      <c r="A1068" t="s">
        <v>6</v>
      </c>
      <c r="B1068">
        <v>8325.0978050629001</v>
      </c>
      <c r="C1068">
        <v>249400.72</v>
      </c>
      <c r="D1068">
        <v>10.440124676195801</v>
      </c>
      <c r="E1068">
        <v>107</v>
      </c>
      <c r="F1068" t="s">
        <v>101</v>
      </c>
    </row>
    <row r="1069" spans="1:6" x14ac:dyDescent="0.2">
      <c r="A1069" t="s">
        <v>8</v>
      </c>
      <c r="B1069">
        <v>8654.1356140566095</v>
      </c>
      <c r="C1069">
        <v>139240.88</v>
      </c>
      <c r="D1069">
        <v>10.8302426771005</v>
      </c>
      <c r="E1069">
        <v>107</v>
      </c>
      <c r="F1069" t="s">
        <v>101</v>
      </c>
    </row>
    <row r="1070" spans="1:6" x14ac:dyDescent="0.2">
      <c r="A1070" t="s">
        <v>10</v>
      </c>
      <c r="B1070">
        <v>8999.1576311648296</v>
      </c>
      <c r="C1070">
        <v>43901.86</v>
      </c>
      <c r="D1070">
        <v>11.070738935041399</v>
      </c>
      <c r="E1070">
        <v>107</v>
      </c>
      <c r="F1070" t="s">
        <v>101</v>
      </c>
    </row>
    <row r="1071" spans="1:6" x14ac:dyDescent="0.2">
      <c r="A1071" t="s">
        <v>9</v>
      </c>
      <c r="B1071">
        <v>2862.3743919390799</v>
      </c>
      <c r="C1071">
        <v>38346.5</v>
      </c>
      <c r="D1071">
        <v>4.0509121612389896</v>
      </c>
      <c r="E1071">
        <v>108</v>
      </c>
      <c r="F1071" t="s">
        <v>102</v>
      </c>
    </row>
    <row r="1072" spans="1:6" x14ac:dyDescent="0.2">
      <c r="A1072" t="s">
        <v>6</v>
      </c>
      <c r="B1072">
        <v>3168.41055885278</v>
      </c>
      <c r="C1072">
        <v>182045</v>
      </c>
      <c r="D1072">
        <v>4.4711309110800403</v>
      </c>
      <c r="E1072">
        <v>108</v>
      </c>
      <c r="F1072" t="s">
        <v>102</v>
      </c>
    </row>
    <row r="1073" spans="1:6" x14ac:dyDescent="0.2">
      <c r="A1073" t="s">
        <v>6</v>
      </c>
      <c r="B1073">
        <v>3473.4377095322002</v>
      </c>
      <c r="C1073">
        <v>62331.26</v>
      </c>
      <c r="D1073">
        <v>5.2800288613319397</v>
      </c>
      <c r="E1073">
        <v>108</v>
      </c>
      <c r="F1073" t="s">
        <v>102</v>
      </c>
    </row>
    <row r="1074" spans="1:6" x14ac:dyDescent="0.2">
      <c r="A1074" t="s">
        <v>11</v>
      </c>
      <c r="B1074">
        <v>3778.4895002605099</v>
      </c>
      <c r="C1074">
        <v>293274.64</v>
      </c>
      <c r="D1074">
        <v>5.8223578448772404</v>
      </c>
      <c r="E1074">
        <v>108</v>
      </c>
      <c r="F1074" t="s">
        <v>102</v>
      </c>
    </row>
    <row r="1075" spans="1:6" x14ac:dyDescent="0.2">
      <c r="A1075" t="s">
        <v>6</v>
      </c>
      <c r="B1075">
        <v>4083.5361126616999</v>
      </c>
      <c r="C1075">
        <v>102109.68</v>
      </c>
      <c r="D1075">
        <v>6.3014941866874699</v>
      </c>
      <c r="E1075">
        <v>108</v>
      </c>
      <c r="F1075" t="s">
        <v>102</v>
      </c>
    </row>
    <row r="1076" spans="1:6" x14ac:dyDescent="0.2">
      <c r="A1076" t="s">
        <v>9</v>
      </c>
      <c r="B1076">
        <v>4389.5596091019497</v>
      </c>
      <c r="C1076">
        <v>98294.33</v>
      </c>
      <c r="D1076">
        <v>6.5410850778897602</v>
      </c>
      <c r="E1076">
        <v>108</v>
      </c>
      <c r="F1076" t="s">
        <v>102</v>
      </c>
    </row>
    <row r="1077" spans="1:6" x14ac:dyDescent="0.2">
      <c r="A1077" t="s">
        <v>10</v>
      </c>
      <c r="B1077">
        <v>4734.60682895833</v>
      </c>
      <c r="C1077">
        <v>289686.46000000002</v>
      </c>
      <c r="D1077">
        <v>7.0519884542306297</v>
      </c>
      <c r="E1077">
        <v>108</v>
      </c>
      <c r="F1077" t="s">
        <v>102</v>
      </c>
    </row>
    <row r="1078" spans="1:6" x14ac:dyDescent="0.2">
      <c r="A1078" t="s">
        <v>8</v>
      </c>
      <c r="B1078">
        <v>5063.6284857280798</v>
      </c>
      <c r="C1078">
        <v>198178.17</v>
      </c>
      <c r="D1078">
        <v>6.1477922931988997</v>
      </c>
      <c r="E1078">
        <v>108</v>
      </c>
      <c r="F1078" t="s">
        <v>102</v>
      </c>
    </row>
    <row r="1079" spans="1:6" x14ac:dyDescent="0.2">
      <c r="A1079" t="s">
        <v>10</v>
      </c>
      <c r="B1079">
        <v>5408.6651238263203</v>
      </c>
      <c r="C1079">
        <v>53783.12</v>
      </c>
      <c r="D1079">
        <v>6.6631430204391497</v>
      </c>
      <c r="E1079">
        <v>108</v>
      </c>
      <c r="F1079" t="s">
        <v>102</v>
      </c>
    </row>
    <row r="1080" spans="1:6" x14ac:dyDescent="0.2">
      <c r="A1080" t="s">
        <v>9</v>
      </c>
      <c r="B1080">
        <v>5714.6935096918396</v>
      </c>
      <c r="C1080">
        <v>97309.19</v>
      </c>
      <c r="D1080">
        <v>7.0791212037881204</v>
      </c>
      <c r="E1080">
        <v>108</v>
      </c>
      <c r="F1080" t="s">
        <v>102</v>
      </c>
    </row>
    <row r="1081" spans="1:6" x14ac:dyDescent="0.2">
      <c r="A1081" t="s">
        <v>9</v>
      </c>
      <c r="B1081">
        <v>6020.7240822139302</v>
      </c>
      <c r="C1081">
        <v>37868.339999999997</v>
      </c>
      <c r="D1081">
        <v>7.4409768875122104</v>
      </c>
      <c r="E1081">
        <v>108</v>
      </c>
      <c r="F1081" t="s">
        <v>102</v>
      </c>
    </row>
    <row r="1082" spans="1:6" x14ac:dyDescent="0.2">
      <c r="A1082" t="s">
        <v>6</v>
      </c>
      <c r="B1082">
        <v>2233.30972673836</v>
      </c>
      <c r="C1082">
        <v>187005.63</v>
      </c>
      <c r="D1082">
        <v>1.7378969446500101</v>
      </c>
      <c r="E1082">
        <v>110</v>
      </c>
      <c r="F1082" t="s">
        <v>103</v>
      </c>
    </row>
    <row r="1083" spans="1:6" x14ac:dyDescent="0.2">
      <c r="A1083" t="s">
        <v>10</v>
      </c>
      <c r="B1083">
        <v>2538.3487894396098</v>
      </c>
      <c r="C1083">
        <v>94913.79</v>
      </c>
      <c r="D1083">
        <v>1.55720335400899</v>
      </c>
      <c r="E1083">
        <v>110</v>
      </c>
      <c r="F1083" t="s">
        <v>103</v>
      </c>
    </row>
    <row r="1084" spans="1:6" x14ac:dyDescent="0.2">
      <c r="A1084" t="s">
        <v>6</v>
      </c>
      <c r="B1084">
        <v>2883.3972002701598</v>
      </c>
      <c r="C1084">
        <v>248495.72</v>
      </c>
      <c r="D1084">
        <v>3.41839412010511</v>
      </c>
      <c r="E1084">
        <v>110</v>
      </c>
      <c r="F1084" t="s">
        <v>103</v>
      </c>
    </row>
    <row r="1085" spans="1:6" x14ac:dyDescent="0.2">
      <c r="A1085" t="s">
        <v>10</v>
      </c>
      <c r="B1085">
        <v>3188.4347875718599</v>
      </c>
      <c r="C1085">
        <v>163148.12</v>
      </c>
      <c r="D1085">
        <v>3.8972981528123198</v>
      </c>
      <c r="E1085">
        <v>110</v>
      </c>
      <c r="F1085" t="s">
        <v>103</v>
      </c>
    </row>
    <row r="1086" spans="1:6" x14ac:dyDescent="0.2">
      <c r="A1086" t="s">
        <v>11</v>
      </c>
      <c r="B1086">
        <v>3533.47843793524</v>
      </c>
      <c r="C1086">
        <v>286289.68</v>
      </c>
      <c r="D1086">
        <v>4.6202615038235999</v>
      </c>
      <c r="E1086">
        <v>110</v>
      </c>
      <c r="F1086" t="s">
        <v>103</v>
      </c>
    </row>
    <row r="1087" spans="1:6" x14ac:dyDescent="0.2">
      <c r="A1087" t="s">
        <v>10</v>
      </c>
      <c r="B1087">
        <v>3878.5212647394501</v>
      </c>
      <c r="C1087">
        <v>211700.7</v>
      </c>
      <c r="D1087">
        <v>5.33877888676325</v>
      </c>
      <c r="E1087">
        <v>110</v>
      </c>
      <c r="F1087" t="s">
        <v>103</v>
      </c>
    </row>
    <row r="1088" spans="1:6" x14ac:dyDescent="0.2">
      <c r="A1088" t="s">
        <v>10</v>
      </c>
      <c r="B1088">
        <v>4223.5673780063498</v>
      </c>
      <c r="C1088">
        <v>90762.46</v>
      </c>
      <c r="D1088">
        <v>5.9669860358715097</v>
      </c>
      <c r="E1088">
        <v>110</v>
      </c>
      <c r="F1088" t="s">
        <v>103</v>
      </c>
    </row>
    <row r="1089" spans="1:6" x14ac:dyDescent="0.2">
      <c r="A1089" t="s">
        <v>8</v>
      </c>
      <c r="B1089">
        <v>4552.6242157585602</v>
      </c>
      <c r="C1089">
        <v>102661.75</v>
      </c>
      <c r="D1089">
        <v>6.8078124936103803</v>
      </c>
      <c r="E1089">
        <v>110</v>
      </c>
      <c r="F1089" t="s">
        <v>103</v>
      </c>
    </row>
    <row r="1090" spans="1:6" x14ac:dyDescent="0.2">
      <c r="A1090" t="s">
        <v>8</v>
      </c>
      <c r="B1090">
        <v>4881.6763508883296</v>
      </c>
      <c r="C1090">
        <v>24695.23</v>
      </c>
      <c r="D1090">
        <v>7.4997938370386796</v>
      </c>
      <c r="E1090">
        <v>110</v>
      </c>
      <c r="F1090" t="s">
        <v>103</v>
      </c>
    </row>
    <row r="1091" spans="1:6" x14ac:dyDescent="0.2">
      <c r="A1091" t="s">
        <v>9</v>
      </c>
      <c r="B1091">
        <v>5187.71593023275</v>
      </c>
      <c r="C1091">
        <v>9434.57</v>
      </c>
      <c r="D1091">
        <v>6.32862172878583</v>
      </c>
      <c r="E1091">
        <v>110</v>
      </c>
      <c r="F1091" t="s">
        <v>103</v>
      </c>
    </row>
    <row r="1092" spans="1:6" x14ac:dyDescent="0.2">
      <c r="A1092" t="s">
        <v>10</v>
      </c>
      <c r="B1092">
        <v>5532.7468091086203</v>
      </c>
      <c r="C1092">
        <v>140485.79999999999</v>
      </c>
      <c r="D1092">
        <v>8.3099201039155304</v>
      </c>
      <c r="E1092">
        <v>110</v>
      </c>
      <c r="F1092" t="s">
        <v>103</v>
      </c>
    </row>
    <row r="1093" spans="1:6" x14ac:dyDescent="0.2">
      <c r="A1093" t="s">
        <v>9</v>
      </c>
      <c r="B1093">
        <v>5838.7923094392299</v>
      </c>
      <c r="C1093">
        <v>224691.82</v>
      </c>
      <c r="D1093">
        <v>8.6993728454589796</v>
      </c>
      <c r="E1093">
        <v>110</v>
      </c>
      <c r="F1093" t="s">
        <v>103</v>
      </c>
    </row>
    <row r="1094" spans="1:6" x14ac:dyDescent="0.2">
      <c r="A1094" t="s">
        <v>8</v>
      </c>
      <c r="B1094">
        <v>6167.8912011444099</v>
      </c>
      <c r="C1094">
        <v>74871.72</v>
      </c>
      <c r="D1094">
        <v>9.4788820937951392</v>
      </c>
      <c r="E1094">
        <v>110</v>
      </c>
      <c r="F1094" t="s">
        <v>103</v>
      </c>
    </row>
    <row r="1095" spans="1:6" x14ac:dyDescent="0.2">
      <c r="A1095" t="s">
        <v>8</v>
      </c>
      <c r="B1095">
        <v>6496.9299381241499</v>
      </c>
      <c r="C1095">
        <v>21289.34</v>
      </c>
      <c r="D1095">
        <v>9.5967154518445295</v>
      </c>
      <c r="E1095">
        <v>110</v>
      </c>
      <c r="F1095" t="s">
        <v>103</v>
      </c>
    </row>
    <row r="1096" spans="1:6" x14ac:dyDescent="0.2">
      <c r="A1096" t="s">
        <v>10</v>
      </c>
      <c r="B1096">
        <v>3849.5407817609298</v>
      </c>
      <c r="C1096">
        <v>37374.660000000003</v>
      </c>
      <c r="D1096">
        <v>7.1424336369514503</v>
      </c>
      <c r="E1096">
        <v>111</v>
      </c>
      <c r="F1096" t="s">
        <v>104</v>
      </c>
    </row>
    <row r="1097" spans="1:6" x14ac:dyDescent="0.2">
      <c r="A1097" t="s">
        <v>9</v>
      </c>
      <c r="B1097">
        <v>4194.5521689541501</v>
      </c>
      <c r="C1097">
        <v>38926.69</v>
      </c>
      <c r="D1097">
        <v>5.4879047031879402</v>
      </c>
      <c r="E1097">
        <v>111</v>
      </c>
      <c r="F1097" t="s">
        <v>104</v>
      </c>
    </row>
    <row r="1098" spans="1:6" x14ac:dyDescent="0.2">
      <c r="A1098" t="s">
        <v>11</v>
      </c>
      <c r="B1098">
        <v>4500.5928060512897</v>
      </c>
      <c r="C1098">
        <v>282442.67</v>
      </c>
      <c r="D1098">
        <v>6.1206648703098301</v>
      </c>
      <c r="E1098">
        <v>111</v>
      </c>
      <c r="F1098" t="s">
        <v>104</v>
      </c>
    </row>
    <row r="1099" spans="1:6" x14ac:dyDescent="0.2">
      <c r="A1099" t="s">
        <v>9</v>
      </c>
      <c r="B1099">
        <v>4806.6145602413499</v>
      </c>
      <c r="C1099">
        <v>164002.89000000001</v>
      </c>
      <c r="D1099">
        <v>6.6902697598616303</v>
      </c>
      <c r="E1099">
        <v>111</v>
      </c>
      <c r="F1099" t="s">
        <v>104</v>
      </c>
    </row>
    <row r="1100" spans="1:6" x14ac:dyDescent="0.2">
      <c r="A1100" t="s">
        <v>8</v>
      </c>
      <c r="B1100">
        <v>5135.6954701698996</v>
      </c>
      <c r="C1100">
        <v>81926.210000000006</v>
      </c>
      <c r="D1100">
        <v>8.9984834865411099</v>
      </c>
      <c r="E1100">
        <v>111</v>
      </c>
      <c r="F1100" t="s">
        <v>104</v>
      </c>
    </row>
    <row r="1101" spans="1:6" x14ac:dyDescent="0.2">
      <c r="A1101" t="s">
        <v>6</v>
      </c>
      <c r="B1101">
        <v>3222.4060728742002</v>
      </c>
      <c r="C1101">
        <v>80105.81</v>
      </c>
      <c r="D1101">
        <v>3.2376956180413599</v>
      </c>
      <c r="E1101">
        <v>113</v>
      </c>
      <c r="F1101" t="s">
        <v>105</v>
      </c>
    </row>
    <row r="1102" spans="1:6" x14ac:dyDescent="0.2">
      <c r="A1102" t="s">
        <v>11</v>
      </c>
      <c r="B1102">
        <v>3527.4432585588902</v>
      </c>
      <c r="C1102">
        <v>280902.02</v>
      </c>
      <c r="D1102">
        <v>4.1412692184925097</v>
      </c>
      <c r="E1102">
        <v>113</v>
      </c>
      <c r="F1102" t="s">
        <v>105</v>
      </c>
    </row>
    <row r="1103" spans="1:6" x14ac:dyDescent="0.2">
      <c r="A1103" t="s">
        <v>10</v>
      </c>
      <c r="B1103">
        <v>3872.4773655192698</v>
      </c>
      <c r="C1103">
        <v>137053.81</v>
      </c>
      <c r="D1103">
        <v>4.9184974447568299</v>
      </c>
      <c r="E1103">
        <v>113</v>
      </c>
      <c r="F1103" t="s">
        <v>105</v>
      </c>
    </row>
    <row r="1104" spans="1:6" x14ac:dyDescent="0.2">
      <c r="A1104" t="s">
        <v>6</v>
      </c>
      <c r="B1104">
        <v>4177.5328451346004</v>
      </c>
      <c r="C1104">
        <v>40546.81</v>
      </c>
      <c r="D1104">
        <v>5.3975297287782</v>
      </c>
      <c r="E1104">
        <v>113</v>
      </c>
      <c r="F1104" t="s">
        <v>105</v>
      </c>
    </row>
    <row r="1105" spans="1:6" x14ac:dyDescent="0.2">
      <c r="A1105" t="s">
        <v>8</v>
      </c>
      <c r="B1105">
        <v>4506.5827411887403</v>
      </c>
      <c r="C1105">
        <v>182451.75</v>
      </c>
      <c r="D1105">
        <v>6.2698493615468296</v>
      </c>
      <c r="E1105">
        <v>113</v>
      </c>
      <c r="F1105" t="s">
        <v>105</v>
      </c>
    </row>
    <row r="1106" spans="1:6" x14ac:dyDescent="0.2">
      <c r="A1106" t="s">
        <v>6</v>
      </c>
      <c r="B1106">
        <v>4811.6246472634602</v>
      </c>
      <c r="C1106">
        <v>212155.37</v>
      </c>
      <c r="D1106">
        <v>6.6269811943848902</v>
      </c>
      <c r="E1106">
        <v>113</v>
      </c>
      <c r="F1106" t="s">
        <v>105</v>
      </c>
    </row>
    <row r="1107" spans="1:6" x14ac:dyDescent="0.2">
      <c r="A1107" t="s">
        <v>9</v>
      </c>
      <c r="B1107">
        <v>5117.6583358568296</v>
      </c>
      <c r="C1107">
        <v>230769.7</v>
      </c>
      <c r="D1107">
        <v>7.1107762113889104</v>
      </c>
      <c r="E1107">
        <v>113</v>
      </c>
      <c r="F1107" t="s">
        <v>105</v>
      </c>
    </row>
    <row r="1108" spans="1:6" x14ac:dyDescent="0.2">
      <c r="A1108" t="s">
        <v>9</v>
      </c>
      <c r="B1108">
        <v>5423.7005011045703</v>
      </c>
      <c r="C1108">
        <v>275096.77</v>
      </c>
      <c r="D1108">
        <v>7.53146161195437</v>
      </c>
      <c r="E1108">
        <v>113</v>
      </c>
      <c r="F1108" t="s">
        <v>105</v>
      </c>
    </row>
    <row r="1109" spans="1:6" x14ac:dyDescent="0.2">
      <c r="A1109" t="s">
        <v>6</v>
      </c>
      <c r="B1109">
        <v>5728.7169762964304</v>
      </c>
      <c r="C1109">
        <v>50066.67</v>
      </c>
      <c r="D1109">
        <v>7.7124150033473997</v>
      </c>
      <c r="E1109">
        <v>113</v>
      </c>
      <c r="F1109" t="s">
        <v>105</v>
      </c>
    </row>
    <row r="1110" spans="1:6" x14ac:dyDescent="0.2">
      <c r="A1110" t="s">
        <v>10</v>
      </c>
      <c r="B1110">
        <v>6073.80194385301</v>
      </c>
      <c r="C1110">
        <v>38908.089999999997</v>
      </c>
      <c r="D1110">
        <v>8.1605094110647798</v>
      </c>
      <c r="E1110">
        <v>113</v>
      </c>
      <c r="F1110" t="s">
        <v>105</v>
      </c>
    </row>
    <row r="1111" spans="1:6" x14ac:dyDescent="0.2">
      <c r="A1111" t="s">
        <v>6</v>
      </c>
      <c r="B1111">
        <v>6378.8303213039098</v>
      </c>
      <c r="C1111">
        <v>14772.55</v>
      </c>
      <c r="D1111">
        <v>8.2827520942370096</v>
      </c>
      <c r="E1111">
        <v>113</v>
      </c>
      <c r="F1111" t="s">
        <v>105</v>
      </c>
    </row>
    <row r="1112" spans="1:6" x14ac:dyDescent="0.2">
      <c r="A1112" t="s">
        <v>8</v>
      </c>
      <c r="B1112">
        <v>6707.8717751714703</v>
      </c>
      <c r="C1112">
        <v>25689.599999999999</v>
      </c>
      <c r="D1112">
        <v>8.7628044779777508</v>
      </c>
      <c r="E1112">
        <v>113</v>
      </c>
      <c r="F1112" t="s">
        <v>105</v>
      </c>
    </row>
    <row r="1113" spans="1:6" x14ac:dyDescent="0.2">
      <c r="A1113" t="s">
        <v>10</v>
      </c>
      <c r="B1113">
        <v>7052.9382014438397</v>
      </c>
      <c r="C1113">
        <v>15224.67</v>
      </c>
      <c r="D1113">
        <v>8.9395682449817606</v>
      </c>
      <c r="E1113">
        <v>113</v>
      </c>
      <c r="F1113" t="s">
        <v>105</v>
      </c>
    </row>
    <row r="1114" spans="1:6" x14ac:dyDescent="0.2">
      <c r="A1114" t="s">
        <v>6</v>
      </c>
      <c r="B1114">
        <v>2831.3482923595302</v>
      </c>
      <c r="C1114">
        <v>131409.79999999999</v>
      </c>
      <c r="D1114">
        <v>1.32228308674494</v>
      </c>
      <c r="E1114">
        <v>114</v>
      </c>
      <c r="F1114" t="s">
        <v>106</v>
      </c>
    </row>
    <row r="1115" spans="1:6" x14ac:dyDescent="0.2">
      <c r="A1115" t="s">
        <v>10</v>
      </c>
      <c r="B1115">
        <v>3136.3864987444499</v>
      </c>
      <c r="C1115">
        <v>253936.96</v>
      </c>
      <c r="D1115">
        <v>2.0722048119386001</v>
      </c>
      <c r="E1115">
        <v>114</v>
      </c>
      <c r="F1115" t="s">
        <v>106</v>
      </c>
    </row>
    <row r="1116" spans="1:6" x14ac:dyDescent="0.2">
      <c r="A1116" t="s">
        <v>9</v>
      </c>
      <c r="B1116">
        <v>3481.4355231393001</v>
      </c>
      <c r="C1116">
        <v>196864.49</v>
      </c>
      <c r="D1116">
        <v>3.5403633451143901</v>
      </c>
      <c r="E1116">
        <v>114</v>
      </c>
      <c r="F1116" t="s">
        <v>106</v>
      </c>
    </row>
    <row r="1117" spans="1:6" x14ac:dyDescent="0.2">
      <c r="A1117" t="s">
        <v>11</v>
      </c>
      <c r="B1117">
        <v>3787.46092532801</v>
      </c>
      <c r="C1117">
        <v>275284.81</v>
      </c>
      <c r="D1117">
        <v>4.4394991870403304</v>
      </c>
      <c r="E1117">
        <v>114</v>
      </c>
      <c r="F1117" t="s">
        <v>106</v>
      </c>
    </row>
    <row r="1118" spans="1:6" x14ac:dyDescent="0.2">
      <c r="A1118" t="s">
        <v>6</v>
      </c>
      <c r="B1118">
        <v>4092.5028886178102</v>
      </c>
      <c r="C1118">
        <v>203524.5</v>
      </c>
      <c r="D1118">
        <v>4.9817599689642602</v>
      </c>
      <c r="E1118">
        <v>114</v>
      </c>
      <c r="F1118" t="s">
        <v>106</v>
      </c>
    </row>
    <row r="1119" spans="1:6" x14ac:dyDescent="0.2">
      <c r="A1119" t="s">
        <v>6</v>
      </c>
      <c r="B1119">
        <v>4397.5378535796099</v>
      </c>
      <c r="C1119">
        <v>233054.05</v>
      </c>
      <c r="D1119">
        <v>5.4607942457675902</v>
      </c>
      <c r="E1119">
        <v>114</v>
      </c>
      <c r="F1119" t="s">
        <v>106</v>
      </c>
    </row>
    <row r="1120" spans="1:6" x14ac:dyDescent="0.2">
      <c r="A1120" t="s">
        <v>9</v>
      </c>
      <c r="B1120">
        <v>4703.5674778558896</v>
      </c>
      <c r="C1120">
        <v>215595.27</v>
      </c>
      <c r="D1120">
        <v>6.1206648703098301</v>
      </c>
      <c r="E1120">
        <v>114</v>
      </c>
      <c r="F1120" t="s">
        <v>106</v>
      </c>
    </row>
    <row r="1121" spans="1:6" x14ac:dyDescent="0.2">
      <c r="A1121" t="s">
        <v>6</v>
      </c>
      <c r="B1121">
        <v>5008.6144851289</v>
      </c>
      <c r="C1121">
        <v>57230.080000000002</v>
      </c>
      <c r="D1121">
        <v>6.3014941866874699</v>
      </c>
      <c r="E1121">
        <v>114</v>
      </c>
      <c r="F1121" t="s">
        <v>106</v>
      </c>
    </row>
    <row r="1122" spans="1:6" x14ac:dyDescent="0.2">
      <c r="A1122" t="s">
        <v>8</v>
      </c>
      <c r="B1122">
        <v>5337.6720028236596</v>
      </c>
      <c r="C1122">
        <v>90674.09</v>
      </c>
      <c r="D1122">
        <v>7.1424336369514503</v>
      </c>
      <c r="E1122">
        <v>114</v>
      </c>
      <c r="F1122" t="s">
        <v>106</v>
      </c>
    </row>
    <row r="1123" spans="1:6" x14ac:dyDescent="0.2">
      <c r="A1123" t="s">
        <v>9</v>
      </c>
      <c r="B1123">
        <v>5643.6970978460704</v>
      </c>
      <c r="C1123">
        <v>117986.49</v>
      </c>
      <c r="D1123">
        <v>7.4997938370386796</v>
      </c>
      <c r="E1123">
        <v>114</v>
      </c>
      <c r="F1123" t="s">
        <v>106</v>
      </c>
    </row>
    <row r="1124" spans="1:6" x14ac:dyDescent="0.2">
      <c r="A1124" t="s">
        <v>9</v>
      </c>
      <c r="B1124">
        <v>5949.7218449258498</v>
      </c>
      <c r="C1124">
        <v>63962.46</v>
      </c>
      <c r="D1124">
        <v>7.8029098864078499</v>
      </c>
      <c r="E1124">
        <v>114</v>
      </c>
      <c r="F1124" t="s">
        <v>106</v>
      </c>
    </row>
    <row r="1125" spans="1:6" x14ac:dyDescent="0.2">
      <c r="A1125" t="s">
        <v>6</v>
      </c>
      <c r="B1125">
        <v>6254.7662505055396</v>
      </c>
      <c r="C1125">
        <v>15287.51</v>
      </c>
      <c r="D1125">
        <v>8.1016532953262299</v>
      </c>
      <c r="E1125">
        <v>114</v>
      </c>
      <c r="F1125" t="s">
        <v>106</v>
      </c>
    </row>
    <row r="1126" spans="1:6" x14ac:dyDescent="0.2">
      <c r="A1126" t="s">
        <v>8</v>
      </c>
      <c r="B1126">
        <v>6583.8208344190498</v>
      </c>
      <c r="C1126">
        <v>32527.8</v>
      </c>
      <c r="D1126">
        <v>8.5499259765625002</v>
      </c>
      <c r="E1126">
        <v>114</v>
      </c>
      <c r="F1126" t="s">
        <v>106</v>
      </c>
    </row>
    <row r="1127" spans="1:6" x14ac:dyDescent="0.2">
      <c r="A1127" t="s">
        <v>8</v>
      </c>
      <c r="B1127">
        <v>6912.9051325131204</v>
      </c>
      <c r="C1127">
        <v>51057.66</v>
      </c>
      <c r="D1127">
        <v>9.0619451121171295</v>
      </c>
      <c r="E1127">
        <v>114</v>
      </c>
      <c r="F1127" t="s">
        <v>106</v>
      </c>
    </row>
    <row r="1128" spans="1:6" x14ac:dyDescent="0.2">
      <c r="A1128" t="s">
        <v>6</v>
      </c>
      <c r="B1128">
        <v>7217.9245100691496</v>
      </c>
      <c r="C1128">
        <v>67615.929999999993</v>
      </c>
      <c r="D1128">
        <v>9.1797867949485799</v>
      </c>
      <c r="E1128">
        <v>114</v>
      </c>
      <c r="F1128" t="s">
        <v>106</v>
      </c>
    </row>
    <row r="1129" spans="1:6" x14ac:dyDescent="0.2">
      <c r="A1129" t="s">
        <v>6</v>
      </c>
      <c r="B1129">
        <v>2641.3884696447599</v>
      </c>
      <c r="C1129">
        <v>99913.7</v>
      </c>
      <c r="D1129">
        <v>3.41839412010511</v>
      </c>
      <c r="E1129">
        <v>118</v>
      </c>
      <c r="F1129" t="s">
        <v>107</v>
      </c>
    </row>
    <row r="1130" spans="1:6" x14ac:dyDescent="0.2">
      <c r="A1130" t="s">
        <v>10</v>
      </c>
      <c r="B1130">
        <v>2946.42955200917</v>
      </c>
      <c r="C1130">
        <v>77862.600000000006</v>
      </c>
      <c r="D1130">
        <v>3.87018644369443</v>
      </c>
      <c r="E1130">
        <v>118</v>
      </c>
      <c r="F1130" t="s">
        <v>107</v>
      </c>
    </row>
    <row r="1131" spans="1:6" x14ac:dyDescent="0.2">
      <c r="A1131" t="s">
        <v>9</v>
      </c>
      <c r="B1131">
        <v>3291.47576000462</v>
      </c>
      <c r="C1131">
        <v>106594.24000000001</v>
      </c>
      <c r="D1131">
        <v>4.9501272952238704</v>
      </c>
      <c r="E1131">
        <v>118</v>
      </c>
      <c r="F1131" t="s">
        <v>107</v>
      </c>
    </row>
    <row r="1132" spans="1:6" x14ac:dyDescent="0.2">
      <c r="A1132" t="s">
        <v>8</v>
      </c>
      <c r="B1132">
        <v>3597.5087561112</v>
      </c>
      <c r="C1132">
        <v>207489.33</v>
      </c>
      <c r="D1132">
        <v>5.7003263032118499</v>
      </c>
      <c r="E1132">
        <v>118</v>
      </c>
      <c r="F1132" t="s">
        <v>107</v>
      </c>
    </row>
    <row r="1133" spans="1:6" x14ac:dyDescent="0.2">
      <c r="A1133" t="s">
        <v>9</v>
      </c>
      <c r="B1133">
        <v>3926.5623288346101</v>
      </c>
      <c r="C1133">
        <v>79888.98</v>
      </c>
      <c r="D1133">
        <v>6.6269811943848902</v>
      </c>
      <c r="E1133">
        <v>118</v>
      </c>
      <c r="F1133" t="s">
        <v>107</v>
      </c>
    </row>
    <row r="1134" spans="1:6" x14ac:dyDescent="0.2">
      <c r="A1134" t="s">
        <v>9</v>
      </c>
      <c r="B1134">
        <v>4232.6050137182201</v>
      </c>
      <c r="C1134">
        <v>65539.53</v>
      </c>
      <c r="D1134">
        <v>7.0519884542306297</v>
      </c>
      <c r="E1134">
        <v>118</v>
      </c>
      <c r="F1134" t="s">
        <v>107</v>
      </c>
    </row>
    <row r="1135" spans="1:6" x14ac:dyDescent="0.2">
      <c r="A1135" t="s">
        <v>11</v>
      </c>
      <c r="B1135">
        <v>4538.63631654045</v>
      </c>
      <c r="C1135">
        <v>270556.05</v>
      </c>
      <c r="D1135">
        <v>7.4681177532355001</v>
      </c>
      <c r="E1135">
        <v>118</v>
      </c>
      <c r="F1135" t="s">
        <v>107</v>
      </c>
    </row>
    <row r="1136" spans="1:6" x14ac:dyDescent="0.2">
      <c r="A1136" t="s">
        <v>10</v>
      </c>
      <c r="B1136">
        <v>2356.2192181576702</v>
      </c>
      <c r="C1136">
        <v>51003.45</v>
      </c>
      <c r="D1136">
        <v>0.96089091854095499</v>
      </c>
      <c r="E1136">
        <v>121</v>
      </c>
      <c r="F1136" t="s">
        <v>108</v>
      </c>
    </row>
    <row r="1137" spans="1:6" x14ac:dyDescent="0.2">
      <c r="A1137" t="s">
        <v>8</v>
      </c>
      <c r="B1137">
        <v>2701.2703192456802</v>
      </c>
      <c r="C1137">
        <v>19469.46</v>
      </c>
      <c r="D1137">
        <v>1.14158847090403</v>
      </c>
      <c r="E1137">
        <v>121</v>
      </c>
      <c r="F1137" t="s">
        <v>108</v>
      </c>
    </row>
    <row r="1138" spans="1:6" x14ac:dyDescent="0.2">
      <c r="A1138" t="s">
        <v>8</v>
      </c>
      <c r="B1138">
        <v>3030.3207162059002</v>
      </c>
      <c r="C1138">
        <v>32759.43</v>
      </c>
      <c r="D1138">
        <v>2.8808241859753898</v>
      </c>
      <c r="E1138">
        <v>121</v>
      </c>
      <c r="F1138" t="s">
        <v>108</v>
      </c>
    </row>
    <row r="1139" spans="1:6" x14ac:dyDescent="0.2">
      <c r="A1139" t="s">
        <v>6</v>
      </c>
      <c r="B1139">
        <v>3359.3773966517801</v>
      </c>
      <c r="C1139">
        <v>35416.089999999997</v>
      </c>
      <c r="D1139">
        <v>3.9876591777483599</v>
      </c>
      <c r="E1139">
        <v>121</v>
      </c>
      <c r="F1139" t="s">
        <v>108</v>
      </c>
    </row>
    <row r="1140" spans="1:6" x14ac:dyDescent="0.2">
      <c r="A1140" t="s">
        <v>10</v>
      </c>
      <c r="B1140">
        <v>3664.4161397236999</v>
      </c>
      <c r="C1140">
        <v>48464.01</v>
      </c>
      <c r="D1140">
        <v>5.2167590613841996</v>
      </c>
      <c r="E1140">
        <v>121</v>
      </c>
      <c r="F1140" t="s">
        <v>108</v>
      </c>
    </row>
    <row r="1141" spans="1:6" x14ac:dyDescent="0.2">
      <c r="A1141" t="s">
        <v>9</v>
      </c>
      <c r="B1141">
        <v>4009.4639458649499</v>
      </c>
      <c r="C1141">
        <v>59405.14</v>
      </c>
      <c r="D1141">
        <v>5.6099234874725301</v>
      </c>
      <c r="E1141">
        <v>121</v>
      </c>
      <c r="F1141" t="s">
        <v>108</v>
      </c>
    </row>
    <row r="1142" spans="1:6" x14ac:dyDescent="0.2">
      <c r="A1142" t="s">
        <v>8</v>
      </c>
      <c r="B1142">
        <v>4315.4969795360503</v>
      </c>
      <c r="C1142">
        <v>109500.64</v>
      </c>
      <c r="D1142">
        <v>6.1477922931988997</v>
      </c>
      <c r="E1142">
        <v>121</v>
      </c>
      <c r="F1142" t="s">
        <v>108</v>
      </c>
    </row>
    <row r="1143" spans="1:6" x14ac:dyDescent="0.2">
      <c r="A1143" t="s">
        <v>6</v>
      </c>
      <c r="B1143">
        <v>4644.5475400539499</v>
      </c>
      <c r="C1143">
        <v>182015.44</v>
      </c>
      <c r="D1143">
        <v>6.8982393697579703</v>
      </c>
      <c r="E1143">
        <v>121</v>
      </c>
      <c r="F1143" t="s">
        <v>108</v>
      </c>
    </row>
    <row r="1144" spans="1:6" x14ac:dyDescent="0.2">
      <c r="A1144" t="s">
        <v>9</v>
      </c>
      <c r="B1144">
        <v>4949.5804639582902</v>
      </c>
      <c r="C1144">
        <v>198763.85</v>
      </c>
      <c r="D1144">
        <v>7.5902651703039803</v>
      </c>
      <c r="E1144">
        <v>121</v>
      </c>
      <c r="F1144" t="s">
        <v>108</v>
      </c>
    </row>
    <row r="1145" spans="1:6" x14ac:dyDescent="0.2">
      <c r="A1145" t="s">
        <v>11</v>
      </c>
      <c r="B1145">
        <v>5255.6243105220801</v>
      </c>
      <c r="C1145">
        <v>259447.82</v>
      </c>
      <c r="D1145">
        <v>7.7124150033473997</v>
      </c>
      <c r="E1145">
        <v>121</v>
      </c>
      <c r="F1145" t="s">
        <v>108</v>
      </c>
    </row>
    <row r="1146" spans="1:6" x14ac:dyDescent="0.2">
      <c r="A1146" t="s">
        <v>10</v>
      </c>
      <c r="B1146">
        <v>5600.6753414415898</v>
      </c>
      <c r="C1146">
        <v>104856.38</v>
      </c>
      <c r="D1146">
        <v>8.0111072178363791</v>
      </c>
      <c r="E1146">
        <v>121</v>
      </c>
      <c r="F1146" t="s">
        <v>108</v>
      </c>
    </row>
    <row r="1147" spans="1:6" x14ac:dyDescent="0.2">
      <c r="A1147" t="s">
        <v>8</v>
      </c>
      <c r="B1147">
        <v>5929.7396522914096</v>
      </c>
      <c r="C1147">
        <v>137638.85</v>
      </c>
      <c r="D1147">
        <v>8.5499259765625002</v>
      </c>
      <c r="E1147">
        <v>121</v>
      </c>
      <c r="F1147" t="s">
        <v>108</v>
      </c>
    </row>
    <row r="1148" spans="1:6" x14ac:dyDescent="0.2">
      <c r="A1148" t="s">
        <v>6</v>
      </c>
      <c r="B1148">
        <v>6234.7920326063304</v>
      </c>
      <c r="C1148">
        <v>97212.23</v>
      </c>
      <c r="D1148">
        <v>8.7899990613937398</v>
      </c>
      <c r="E1148">
        <v>121</v>
      </c>
      <c r="F1148" t="s">
        <v>108</v>
      </c>
    </row>
    <row r="1149" spans="1:6" x14ac:dyDescent="0.2">
      <c r="A1149" t="s">
        <v>8</v>
      </c>
      <c r="B1149">
        <v>6563.8848144264302</v>
      </c>
      <c r="C1149">
        <v>201287.54</v>
      </c>
      <c r="D1149">
        <v>9.1797867949485799</v>
      </c>
      <c r="E1149">
        <v>121</v>
      </c>
      <c r="F1149" t="s">
        <v>108</v>
      </c>
    </row>
    <row r="1150" spans="1:6" x14ac:dyDescent="0.2">
      <c r="A1150" t="s">
        <v>9</v>
      </c>
      <c r="B1150">
        <v>6869.9212527017698</v>
      </c>
      <c r="C1150">
        <v>122215.67999999999</v>
      </c>
      <c r="D1150">
        <v>9.4199661111513802</v>
      </c>
      <c r="E1150">
        <v>121</v>
      </c>
      <c r="F1150" t="s">
        <v>108</v>
      </c>
    </row>
    <row r="1151" spans="1:6" x14ac:dyDescent="0.2">
      <c r="A1151" t="s">
        <v>9</v>
      </c>
      <c r="B1151">
        <v>2281.28726649399</v>
      </c>
      <c r="C1151">
        <v>197661.86</v>
      </c>
      <c r="D1151">
        <v>0.87054953532218904</v>
      </c>
      <c r="E1151">
        <v>122</v>
      </c>
      <c r="F1151" t="s">
        <v>109</v>
      </c>
    </row>
    <row r="1152" spans="1:6" x14ac:dyDescent="0.2">
      <c r="A1152" t="s">
        <v>11</v>
      </c>
      <c r="B1152">
        <v>2587.3165751319898</v>
      </c>
      <c r="C1152">
        <v>252262.98</v>
      </c>
      <c r="D1152">
        <v>1.0512361283779099</v>
      </c>
      <c r="E1152">
        <v>122</v>
      </c>
      <c r="F1152" t="s">
        <v>109</v>
      </c>
    </row>
    <row r="1153" spans="1:6" x14ac:dyDescent="0.2">
      <c r="A1153" t="s">
        <v>10</v>
      </c>
      <c r="B1153">
        <v>2932.37968378602</v>
      </c>
      <c r="C1153">
        <v>44227.71</v>
      </c>
      <c r="D1153">
        <v>1.34938816981316</v>
      </c>
      <c r="E1153">
        <v>122</v>
      </c>
      <c r="F1153" t="s">
        <v>109</v>
      </c>
    </row>
    <row r="1154" spans="1:6" x14ac:dyDescent="0.2">
      <c r="A1154" t="s">
        <v>8</v>
      </c>
      <c r="B1154">
        <v>3261.4312445896198</v>
      </c>
      <c r="C1154">
        <v>186919.16</v>
      </c>
      <c r="D1154">
        <v>3.3280463035583501</v>
      </c>
      <c r="E1154">
        <v>122</v>
      </c>
      <c r="F1154" t="s">
        <v>109</v>
      </c>
    </row>
    <row r="1155" spans="1:6" x14ac:dyDescent="0.2">
      <c r="A1155" t="s">
        <v>6</v>
      </c>
      <c r="B1155">
        <v>3566.4533370959002</v>
      </c>
      <c r="C1155">
        <v>91171.96</v>
      </c>
      <c r="D1155">
        <v>4.07801836090088</v>
      </c>
      <c r="E1155">
        <v>122</v>
      </c>
      <c r="F1155" t="s">
        <v>109</v>
      </c>
    </row>
    <row r="1156" spans="1:6" x14ac:dyDescent="0.2">
      <c r="A1156" t="s">
        <v>6</v>
      </c>
      <c r="B1156">
        <v>3871.4875493494101</v>
      </c>
      <c r="C1156">
        <v>122769.28</v>
      </c>
      <c r="D1156">
        <v>4.7693796531041501</v>
      </c>
      <c r="E1156">
        <v>122</v>
      </c>
      <c r="F1156" t="s">
        <v>109</v>
      </c>
    </row>
    <row r="1157" spans="1:6" x14ac:dyDescent="0.2">
      <c r="A1157" t="s">
        <v>8</v>
      </c>
      <c r="B1157">
        <v>4200.5492315051997</v>
      </c>
      <c r="C1157">
        <v>104426.64</v>
      </c>
      <c r="D1157">
        <v>5.7003263032118499</v>
      </c>
      <c r="E1157">
        <v>122</v>
      </c>
      <c r="F1157" t="s">
        <v>109</v>
      </c>
    </row>
    <row r="1158" spans="1:6" x14ac:dyDescent="0.2">
      <c r="A1158" t="s">
        <v>6</v>
      </c>
      <c r="B1158">
        <v>4505.5917263811298</v>
      </c>
      <c r="C1158">
        <v>69147.27</v>
      </c>
      <c r="D1158">
        <v>6.1206648703098301</v>
      </c>
      <c r="E1158">
        <v>122</v>
      </c>
      <c r="F1158" t="s">
        <v>109</v>
      </c>
    </row>
    <row r="1159" spans="1:6" x14ac:dyDescent="0.2">
      <c r="A1159" t="s">
        <v>10</v>
      </c>
      <c r="B1159">
        <v>4850.6011956863904</v>
      </c>
      <c r="C1159">
        <v>54592.3</v>
      </c>
      <c r="D1159">
        <v>6.6631430204391497</v>
      </c>
      <c r="E1159">
        <v>122</v>
      </c>
      <c r="F1159" t="s">
        <v>109</v>
      </c>
    </row>
    <row r="1160" spans="1:6" x14ac:dyDescent="0.2">
      <c r="A1160" t="s">
        <v>9</v>
      </c>
      <c r="B1160">
        <v>5156.6559434251603</v>
      </c>
      <c r="C1160">
        <v>62873.27</v>
      </c>
      <c r="D1160">
        <v>7.0791212037881204</v>
      </c>
      <c r="E1160">
        <v>122</v>
      </c>
      <c r="F1160" t="s">
        <v>109</v>
      </c>
    </row>
    <row r="1161" spans="1:6" x14ac:dyDescent="0.2">
      <c r="A1161" t="s">
        <v>8</v>
      </c>
      <c r="B1161">
        <v>5485.6991110987501</v>
      </c>
      <c r="C1161">
        <v>85242.240000000005</v>
      </c>
      <c r="D1161">
        <v>7.7395614460786204</v>
      </c>
      <c r="E1161">
        <v>122</v>
      </c>
      <c r="F1161" t="s">
        <v>109</v>
      </c>
    </row>
    <row r="1162" spans="1:6" x14ac:dyDescent="0.2">
      <c r="A1162" t="s">
        <v>9</v>
      </c>
      <c r="B1162">
        <v>2885.3795178965001</v>
      </c>
      <c r="C1162">
        <v>103164.09</v>
      </c>
      <c r="D1162">
        <v>1.07834287838936</v>
      </c>
      <c r="E1162">
        <v>123</v>
      </c>
      <c r="F1162" t="s">
        <v>110</v>
      </c>
    </row>
    <row r="1163" spans="1:6" x14ac:dyDescent="0.2">
      <c r="A1163" t="s">
        <v>6</v>
      </c>
      <c r="B1163">
        <v>3191.4035908880501</v>
      </c>
      <c r="C1163">
        <v>247388.95</v>
      </c>
      <c r="D1163">
        <v>1.64755338784854</v>
      </c>
      <c r="E1163">
        <v>123</v>
      </c>
      <c r="F1163" t="s">
        <v>110</v>
      </c>
    </row>
    <row r="1164" spans="1:6" x14ac:dyDescent="0.2">
      <c r="A1164" t="s">
        <v>9</v>
      </c>
      <c r="B1164">
        <v>3496.4443250655099</v>
      </c>
      <c r="C1164">
        <v>238881.64</v>
      </c>
      <c r="D1164">
        <v>2.6414079622109701</v>
      </c>
      <c r="E1164">
        <v>123</v>
      </c>
      <c r="F1164" t="s">
        <v>110</v>
      </c>
    </row>
    <row r="1165" spans="1:6" x14ac:dyDescent="0.2">
      <c r="A1165" t="s">
        <v>10</v>
      </c>
      <c r="B1165">
        <v>3802.4685331526798</v>
      </c>
      <c r="C1165">
        <v>62247.39</v>
      </c>
      <c r="D1165">
        <v>4.07801836090088</v>
      </c>
      <c r="E1165">
        <v>123</v>
      </c>
      <c r="F1165" t="s">
        <v>110</v>
      </c>
    </row>
    <row r="1166" spans="1:6" x14ac:dyDescent="0.2">
      <c r="A1166" t="s">
        <v>6</v>
      </c>
      <c r="B1166">
        <v>4147.5183796131796</v>
      </c>
      <c r="C1166">
        <v>149460.29999999999</v>
      </c>
      <c r="D1166">
        <v>4.6202615038235999</v>
      </c>
      <c r="E1166">
        <v>123</v>
      </c>
      <c r="F1166" t="s">
        <v>110</v>
      </c>
    </row>
    <row r="1167" spans="1:6" x14ac:dyDescent="0.2">
      <c r="A1167" t="s">
        <v>11</v>
      </c>
      <c r="B1167">
        <v>4452.5592927347698</v>
      </c>
      <c r="C1167">
        <v>249553.3</v>
      </c>
      <c r="D1167">
        <v>5.1625245864868203</v>
      </c>
      <c r="E1167">
        <v>123</v>
      </c>
      <c r="F1167" t="s">
        <v>110</v>
      </c>
    </row>
    <row r="1168" spans="1:6" x14ac:dyDescent="0.2">
      <c r="A1168" t="s">
        <v>6</v>
      </c>
      <c r="B1168">
        <v>4757.5967734010401</v>
      </c>
      <c r="C1168">
        <v>201784.23</v>
      </c>
      <c r="D1168">
        <v>5.6686851596514396</v>
      </c>
      <c r="E1168">
        <v>123</v>
      </c>
      <c r="F1168" t="s">
        <v>110</v>
      </c>
    </row>
    <row r="1169" spans="1:6" x14ac:dyDescent="0.2">
      <c r="A1169" t="s">
        <v>6</v>
      </c>
      <c r="B1169">
        <v>5062.6401792487404</v>
      </c>
      <c r="C1169">
        <v>82870</v>
      </c>
      <c r="D1169">
        <v>7.3504987692515096</v>
      </c>
      <c r="E1169">
        <v>123</v>
      </c>
      <c r="F1169" t="s">
        <v>110</v>
      </c>
    </row>
    <row r="1170" spans="1:6" x14ac:dyDescent="0.2">
      <c r="A1170" t="s">
        <v>8</v>
      </c>
      <c r="B1170">
        <v>3150.4132218380601</v>
      </c>
      <c r="C1170">
        <v>28400.78</v>
      </c>
      <c r="D1170">
        <v>1.259041370519</v>
      </c>
      <c r="E1170">
        <v>126</v>
      </c>
      <c r="F1170" t="s">
        <v>111</v>
      </c>
    </row>
    <row r="1171" spans="1:6" x14ac:dyDescent="0.2">
      <c r="A1171" t="s">
        <v>9</v>
      </c>
      <c r="B1171">
        <v>3479.4586587277699</v>
      </c>
      <c r="C1171">
        <v>69839</v>
      </c>
      <c r="D1171">
        <v>3.0027927116235098</v>
      </c>
      <c r="E1171">
        <v>126</v>
      </c>
      <c r="F1171" t="s">
        <v>111</v>
      </c>
    </row>
    <row r="1172" spans="1:6" x14ac:dyDescent="0.2">
      <c r="A1172" t="s">
        <v>8</v>
      </c>
      <c r="B1172">
        <v>3785.4870370283202</v>
      </c>
      <c r="C1172">
        <v>71626.37</v>
      </c>
      <c r="D1172">
        <v>4.0509121612389896</v>
      </c>
      <c r="E1172">
        <v>126</v>
      </c>
      <c r="F1172" t="s">
        <v>111</v>
      </c>
    </row>
    <row r="1173" spans="1:6" x14ac:dyDescent="0.2">
      <c r="A1173" t="s">
        <v>9</v>
      </c>
      <c r="B1173">
        <v>4114.5487288743097</v>
      </c>
      <c r="C1173">
        <v>126059.82</v>
      </c>
      <c r="D1173">
        <v>5.2167590613841996</v>
      </c>
      <c r="E1173">
        <v>126</v>
      </c>
      <c r="F1173" t="s">
        <v>111</v>
      </c>
    </row>
    <row r="1174" spans="1:6" x14ac:dyDescent="0.2">
      <c r="A1174" t="s">
        <v>6</v>
      </c>
      <c r="B1174">
        <v>4420.5706079414203</v>
      </c>
      <c r="C1174">
        <v>107434.51</v>
      </c>
      <c r="D1174">
        <v>5.8494748866240203</v>
      </c>
      <c r="E1174">
        <v>126</v>
      </c>
      <c r="F1174" t="s">
        <v>111</v>
      </c>
    </row>
    <row r="1175" spans="1:6" x14ac:dyDescent="0.2">
      <c r="A1175" t="s">
        <v>9</v>
      </c>
      <c r="B1175">
        <v>4725.61279856485</v>
      </c>
      <c r="C1175">
        <v>148620.95000000001</v>
      </c>
      <c r="D1175">
        <v>6.2382045622348796</v>
      </c>
      <c r="E1175">
        <v>126</v>
      </c>
      <c r="F1175" t="s">
        <v>111</v>
      </c>
    </row>
    <row r="1176" spans="1:6" x14ac:dyDescent="0.2">
      <c r="A1176" t="s">
        <v>11</v>
      </c>
      <c r="B1176">
        <v>5031.6439513147798</v>
      </c>
      <c r="C1176">
        <v>247669.83</v>
      </c>
      <c r="D1176">
        <v>6.6902697598616303</v>
      </c>
      <c r="E1176">
        <v>126</v>
      </c>
      <c r="F1176" t="s">
        <v>111</v>
      </c>
    </row>
    <row r="1177" spans="1:6" x14ac:dyDescent="0.2">
      <c r="A1177" t="s">
        <v>9</v>
      </c>
      <c r="B1177">
        <v>3951.5993791943301</v>
      </c>
      <c r="C1177">
        <v>40988.29</v>
      </c>
      <c r="D1177">
        <v>7.2600274618148797</v>
      </c>
      <c r="E1177">
        <v>129</v>
      </c>
      <c r="F1177" t="s">
        <v>112</v>
      </c>
    </row>
    <row r="1178" spans="1:6" x14ac:dyDescent="0.2">
      <c r="A1178" t="s">
        <v>10</v>
      </c>
      <c r="B1178">
        <v>4257.5885267581798</v>
      </c>
      <c r="C1178">
        <v>143599.26</v>
      </c>
      <c r="D1178">
        <v>5.9127516781965896</v>
      </c>
      <c r="E1178">
        <v>129</v>
      </c>
      <c r="F1178" t="s">
        <v>112</v>
      </c>
    </row>
    <row r="1179" spans="1:6" x14ac:dyDescent="0.2">
      <c r="A1179" t="s">
        <v>8</v>
      </c>
      <c r="B1179">
        <v>4602.6419492856703</v>
      </c>
      <c r="C1179">
        <v>199868.53</v>
      </c>
      <c r="D1179">
        <v>6.59985890345573</v>
      </c>
      <c r="E1179">
        <v>129</v>
      </c>
      <c r="F1179" t="s">
        <v>112</v>
      </c>
    </row>
    <row r="1180" spans="1:6" x14ac:dyDescent="0.2">
      <c r="A1180" t="s">
        <v>10</v>
      </c>
      <c r="B1180">
        <v>4931.7016239614104</v>
      </c>
      <c r="C1180">
        <v>190069.79</v>
      </c>
      <c r="D1180">
        <v>7.1695676362196599</v>
      </c>
      <c r="E1180">
        <v>129</v>
      </c>
      <c r="F1180" t="s">
        <v>112</v>
      </c>
    </row>
    <row r="1181" spans="1:6" x14ac:dyDescent="0.2">
      <c r="A1181" t="s">
        <v>9</v>
      </c>
      <c r="B1181">
        <v>5276.7497713836001</v>
      </c>
      <c r="C1181">
        <v>159891.96</v>
      </c>
      <c r="D1181">
        <v>7.5902651703039803</v>
      </c>
      <c r="E1181">
        <v>129</v>
      </c>
      <c r="F1181" t="s">
        <v>112</v>
      </c>
    </row>
    <row r="1182" spans="1:6" x14ac:dyDescent="0.2">
      <c r="A1182" t="s">
        <v>6</v>
      </c>
      <c r="B1182">
        <v>5582.7724323472303</v>
      </c>
      <c r="C1182">
        <v>146919.07999999999</v>
      </c>
      <c r="D1182">
        <v>7.9477374529520697</v>
      </c>
      <c r="E1182">
        <v>129</v>
      </c>
      <c r="F1182" t="s">
        <v>112</v>
      </c>
    </row>
    <row r="1183" spans="1:6" x14ac:dyDescent="0.2">
      <c r="A1183" t="s">
        <v>9</v>
      </c>
      <c r="B1183">
        <v>5887.7880419010198</v>
      </c>
      <c r="C1183">
        <v>116625.54</v>
      </c>
      <c r="D1183">
        <v>8.2193639949639596</v>
      </c>
      <c r="E1183">
        <v>129</v>
      </c>
      <c r="F1183" t="s">
        <v>112</v>
      </c>
    </row>
    <row r="1184" spans="1:6" x14ac:dyDescent="0.2">
      <c r="A1184" t="s">
        <v>8</v>
      </c>
      <c r="B1184">
        <v>6193.8427459390196</v>
      </c>
      <c r="C1184">
        <v>42756.2</v>
      </c>
      <c r="D1184">
        <v>8.5499259765625002</v>
      </c>
      <c r="E1184">
        <v>129</v>
      </c>
      <c r="F1184" t="s">
        <v>112</v>
      </c>
    </row>
    <row r="1185" spans="1:6" x14ac:dyDescent="0.2">
      <c r="A1185" t="s">
        <v>8</v>
      </c>
      <c r="B1185">
        <v>6522.9070665090403</v>
      </c>
      <c r="C1185">
        <v>195356.38</v>
      </c>
      <c r="D1185">
        <v>8.9984834865411099</v>
      </c>
      <c r="E1185">
        <v>129</v>
      </c>
      <c r="F1185" t="s">
        <v>112</v>
      </c>
    </row>
    <row r="1186" spans="1:6" x14ac:dyDescent="0.2">
      <c r="A1186" t="s">
        <v>11</v>
      </c>
      <c r="B1186">
        <v>6851.9318949939197</v>
      </c>
      <c r="C1186">
        <v>244739.9</v>
      </c>
      <c r="D1186">
        <v>9.3610533849080397</v>
      </c>
      <c r="E1186">
        <v>129</v>
      </c>
      <c r="F1186" t="s">
        <v>112</v>
      </c>
    </row>
    <row r="1187" spans="1:6" x14ac:dyDescent="0.2">
      <c r="A1187" t="s">
        <v>9</v>
      </c>
      <c r="B1187">
        <v>7157.9577290301304</v>
      </c>
      <c r="C1187">
        <v>180871.32</v>
      </c>
      <c r="D1187">
        <v>9.5695250208854699</v>
      </c>
      <c r="E1187">
        <v>129</v>
      </c>
      <c r="F1187" t="s">
        <v>112</v>
      </c>
    </row>
    <row r="1188" spans="1:6" x14ac:dyDescent="0.2">
      <c r="A1188" t="s">
        <v>9</v>
      </c>
      <c r="B1188">
        <v>2657.38898195723</v>
      </c>
      <c r="C1188">
        <v>111068.56</v>
      </c>
      <c r="D1188">
        <v>2.39745846149127</v>
      </c>
      <c r="E1188">
        <v>131</v>
      </c>
      <c r="F1188" t="s">
        <v>113</v>
      </c>
    </row>
    <row r="1189" spans="1:6" x14ac:dyDescent="0.2">
      <c r="A1189" t="s">
        <v>10</v>
      </c>
      <c r="B1189">
        <v>2963.42420562298</v>
      </c>
      <c r="C1189">
        <v>76774.59</v>
      </c>
      <c r="D1189">
        <v>3.5990953103383401</v>
      </c>
      <c r="E1189">
        <v>131</v>
      </c>
      <c r="F1189" t="s">
        <v>113</v>
      </c>
    </row>
    <row r="1190" spans="1:6" x14ac:dyDescent="0.2">
      <c r="A1190" t="s">
        <v>6</v>
      </c>
      <c r="B1190">
        <v>3308.4845049731998</v>
      </c>
      <c r="C1190">
        <v>206523.69</v>
      </c>
      <c r="D1190">
        <v>5.0992564197063404</v>
      </c>
      <c r="E1190">
        <v>131</v>
      </c>
      <c r="F1190" t="s">
        <v>113</v>
      </c>
    </row>
    <row r="1191" spans="1:6" x14ac:dyDescent="0.2">
      <c r="A1191" t="s">
        <v>8</v>
      </c>
      <c r="B1191">
        <v>3613.5055557534602</v>
      </c>
      <c r="C1191">
        <v>195527.57</v>
      </c>
      <c r="D1191">
        <v>5.1625245864868203</v>
      </c>
      <c r="E1191">
        <v>131</v>
      </c>
      <c r="F1191" t="s">
        <v>113</v>
      </c>
    </row>
    <row r="1192" spans="1:6" x14ac:dyDescent="0.2">
      <c r="A1192" t="s">
        <v>10</v>
      </c>
      <c r="B1192">
        <v>3942.5631287021101</v>
      </c>
      <c r="C1192">
        <v>171849.24</v>
      </c>
      <c r="D1192">
        <v>6.3014941866874699</v>
      </c>
      <c r="E1192">
        <v>131</v>
      </c>
      <c r="F1192" t="s">
        <v>113</v>
      </c>
    </row>
    <row r="1193" spans="1:6" x14ac:dyDescent="0.2">
      <c r="A1193" t="s">
        <v>9</v>
      </c>
      <c r="B1193">
        <v>4287.6063214544001</v>
      </c>
      <c r="C1193">
        <v>149853.32</v>
      </c>
      <c r="D1193">
        <v>6.7490409270604497</v>
      </c>
      <c r="E1193">
        <v>131</v>
      </c>
      <c r="F1193" t="s">
        <v>113</v>
      </c>
    </row>
    <row r="1194" spans="1:6" x14ac:dyDescent="0.2">
      <c r="A1194" t="s">
        <v>10</v>
      </c>
      <c r="B1194">
        <v>4593.6454978969996</v>
      </c>
      <c r="C1194">
        <v>96220.74</v>
      </c>
      <c r="D1194">
        <v>7.1967074032306702</v>
      </c>
      <c r="E1194">
        <v>131</v>
      </c>
      <c r="F1194" t="s">
        <v>113</v>
      </c>
    </row>
    <row r="1195" spans="1:6" x14ac:dyDescent="0.2">
      <c r="A1195" t="s">
        <v>10</v>
      </c>
      <c r="B1195">
        <v>4938.6846380617999</v>
      </c>
      <c r="C1195">
        <v>134781.10999999999</v>
      </c>
      <c r="D1195">
        <v>7.5902651703039803</v>
      </c>
      <c r="E1195">
        <v>131</v>
      </c>
      <c r="F1195" t="s">
        <v>113</v>
      </c>
    </row>
    <row r="1196" spans="1:6" x14ac:dyDescent="0.2">
      <c r="A1196" t="s">
        <v>8</v>
      </c>
      <c r="B1196">
        <v>5283.7653500585402</v>
      </c>
      <c r="C1196">
        <v>185967.45</v>
      </c>
      <c r="D1196">
        <v>8.0111072178363791</v>
      </c>
      <c r="E1196">
        <v>131</v>
      </c>
      <c r="F1196" t="s">
        <v>113</v>
      </c>
    </row>
    <row r="1197" spans="1:6" x14ac:dyDescent="0.2">
      <c r="A1197" t="s">
        <v>11</v>
      </c>
      <c r="B1197">
        <v>5612.8332353041396</v>
      </c>
      <c r="C1197">
        <v>239940.25</v>
      </c>
      <c r="D1197">
        <v>8.6404895440419498</v>
      </c>
      <c r="E1197">
        <v>131</v>
      </c>
      <c r="F1197" t="s">
        <v>113</v>
      </c>
    </row>
    <row r="1198" spans="1:6" x14ac:dyDescent="0.2">
      <c r="A1198" t="s">
        <v>10</v>
      </c>
      <c r="B1198">
        <v>5957.8773507668002</v>
      </c>
      <c r="C1198">
        <v>67056.960000000006</v>
      </c>
      <c r="D1198">
        <v>8.9078380798975605</v>
      </c>
      <c r="E1198">
        <v>131</v>
      </c>
      <c r="F1198" t="s">
        <v>113</v>
      </c>
    </row>
    <row r="1199" spans="1:6" x14ac:dyDescent="0.2">
      <c r="A1199" t="s">
        <v>9</v>
      </c>
      <c r="B1199">
        <v>6263.9027446567497</v>
      </c>
      <c r="C1199">
        <v>88449.42</v>
      </c>
      <c r="D1199">
        <v>9.1797867949485799</v>
      </c>
      <c r="E1199">
        <v>131</v>
      </c>
      <c r="F1199" t="s">
        <v>113</v>
      </c>
    </row>
    <row r="1200" spans="1:6" x14ac:dyDescent="0.2">
      <c r="A1200" t="s">
        <v>10</v>
      </c>
      <c r="B1200">
        <v>6608.9477212093097</v>
      </c>
      <c r="C1200">
        <v>28679.06</v>
      </c>
      <c r="D1200">
        <v>9.4199661111513802</v>
      </c>
      <c r="E1200">
        <v>131</v>
      </c>
      <c r="F1200" t="s">
        <v>113</v>
      </c>
    </row>
    <row r="1201" spans="1:6" x14ac:dyDescent="0.2">
      <c r="A1201" t="s">
        <v>10</v>
      </c>
      <c r="B1201">
        <v>3448.45007896485</v>
      </c>
      <c r="C1201">
        <v>140700.01999999999</v>
      </c>
      <c r="D1201">
        <v>4.2000071938514703</v>
      </c>
      <c r="E1201">
        <v>133</v>
      </c>
      <c r="F1201" t="s">
        <v>114</v>
      </c>
    </row>
    <row r="1202" spans="1:6" x14ac:dyDescent="0.2">
      <c r="A1202" t="s">
        <v>8</v>
      </c>
      <c r="B1202">
        <v>3793.4748560261301</v>
      </c>
      <c r="C1202">
        <v>183365.78</v>
      </c>
      <c r="D1202">
        <v>5.0405052121162397</v>
      </c>
      <c r="E1202">
        <v>133</v>
      </c>
      <c r="F1202" t="s">
        <v>114</v>
      </c>
    </row>
    <row r="1203" spans="1:6" x14ac:dyDescent="0.2">
      <c r="A1203" t="s">
        <v>8</v>
      </c>
      <c r="B1203">
        <v>4122.5556449503101</v>
      </c>
      <c r="C1203">
        <v>218494.1</v>
      </c>
      <c r="D1203">
        <v>6.0031435604572296</v>
      </c>
      <c r="E1203">
        <v>133</v>
      </c>
      <c r="F1203" t="s">
        <v>114</v>
      </c>
    </row>
    <row r="1204" spans="1:6" x14ac:dyDescent="0.2">
      <c r="A1204" t="s">
        <v>10</v>
      </c>
      <c r="B1204">
        <v>4451.5754811375</v>
      </c>
      <c r="C1204">
        <v>213095.11</v>
      </c>
      <c r="D1204">
        <v>6.7490409270604497</v>
      </c>
      <c r="E1204">
        <v>133</v>
      </c>
      <c r="F1204" t="s">
        <v>114</v>
      </c>
    </row>
    <row r="1205" spans="1:6" x14ac:dyDescent="0.2">
      <c r="A1205" t="s">
        <v>6</v>
      </c>
      <c r="B1205">
        <v>4796.6214732471899</v>
      </c>
      <c r="C1205">
        <v>211106.35</v>
      </c>
      <c r="D1205">
        <v>7.0519884542306297</v>
      </c>
      <c r="E1205">
        <v>133</v>
      </c>
      <c r="F1205" t="s">
        <v>114</v>
      </c>
    </row>
    <row r="1206" spans="1:6" x14ac:dyDescent="0.2">
      <c r="A1206" t="s">
        <v>11</v>
      </c>
      <c r="B1206">
        <v>5101.6515917216602</v>
      </c>
      <c r="C1206">
        <v>234655.04</v>
      </c>
      <c r="D1206">
        <v>7.3188331361293804</v>
      </c>
      <c r="E1206">
        <v>133</v>
      </c>
      <c r="F1206" t="s">
        <v>114</v>
      </c>
    </row>
    <row r="1207" spans="1:6" x14ac:dyDescent="0.2">
      <c r="A1207" t="s">
        <v>8</v>
      </c>
      <c r="B1207">
        <v>5430.6995082318299</v>
      </c>
      <c r="C1207">
        <v>162923.75</v>
      </c>
      <c r="D1207">
        <v>7.8888968026320097</v>
      </c>
      <c r="E1207">
        <v>133</v>
      </c>
      <c r="F1207" t="s">
        <v>114</v>
      </c>
    </row>
    <row r="1208" spans="1:6" x14ac:dyDescent="0.2">
      <c r="A1208" t="s">
        <v>10</v>
      </c>
      <c r="B1208">
        <v>5775.7497478650803</v>
      </c>
      <c r="C1208">
        <v>178911.88</v>
      </c>
      <c r="D1208">
        <v>8.2510596112092305</v>
      </c>
      <c r="E1208">
        <v>133</v>
      </c>
      <c r="F1208" t="s">
        <v>114</v>
      </c>
    </row>
    <row r="1209" spans="1:6" x14ac:dyDescent="0.2">
      <c r="A1209" t="s">
        <v>9</v>
      </c>
      <c r="B1209">
        <v>2806.3464091064602</v>
      </c>
      <c r="C1209">
        <v>123981.06</v>
      </c>
      <c r="D1209">
        <v>0.98799588637351998</v>
      </c>
      <c r="E1209">
        <v>134</v>
      </c>
      <c r="F1209" t="s">
        <v>115</v>
      </c>
    </row>
    <row r="1210" spans="1:6" x14ac:dyDescent="0.2">
      <c r="A1210" t="s">
        <v>11</v>
      </c>
      <c r="B1210">
        <v>3112.3699875440302</v>
      </c>
      <c r="C1210">
        <v>232066.05</v>
      </c>
      <c r="D1210">
        <v>1.29066340284348</v>
      </c>
      <c r="E1210">
        <v>134</v>
      </c>
      <c r="F1210" t="s">
        <v>115</v>
      </c>
    </row>
    <row r="1211" spans="1:6" x14ac:dyDescent="0.2">
      <c r="A1211" t="s">
        <v>8</v>
      </c>
      <c r="B1211">
        <v>3441.4299740204001</v>
      </c>
      <c r="C1211">
        <v>168474.66</v>
      </c>
      <c r="D1211">
        <v>3.1789744869550098</v>
      </c>
      <c r="E1211">
        <v>134</v>
      </c>
      <c r="F1211" t="s">
        <v>115</v>
      </c>
    </row>
    <row r="1212" spans="1:6" x14ac:dyDescent="0.2">
      <c r="A1212" t="s">
        <v>10</v>
      </c>
      <c r="B1212">
        <v>3786.4786391071102</v>
      </c>
      <c r="C1212">
        <v>163687.07999999999</v>
      </c>
      <c r="D1212">
        <v>4.1683786526997899</v>
      </c>
      <c r="E1212">
        <v>134</v>
      </c>
      <c r="F1212" t="s">
        <v>115</v>
      </c>
    </row>
    <row r="1213" spans="1:6" x14ac:dyDescent="0.2">
      <c r="A1213" t="s">
        <v>6</v>
      </c>
      <c r="B1213">
        <v>4091.5178899839798</v>
      </c>
      <c r="C1213">
        <v>84772.91</v>
      </c>
      <c r="D1213">
        <v>4.8010087624867799</v>
      </c>
      <c r="E1213">
        <v>134</v>
      </c>
      <c r="F1213" t="s">
        <v>115</v>
      </c>
    </row>
    <row r="1214" spans="1:6" x14ac:dyDescent="0.2">
      <c r="A1214" t="s">
        <v>8</v>
      </c>
      <c r="B1214">
        <v>7367.9450324441596</v>
      </c>
      <c r="C1214">
        <v>168086.78</v>
      </c>
      <c r="D1214">
        <v>9.8415162280877393</v>
      </c>
      <c r="E1214">
        <v>136</v>
      </c>
      <c r="F1214" t="s">
        <v>116</v>
      </c>
    </row>
    <row r="1215" spans="1:6" x14ac:dyDescent="0.2">
      <c r="A1215" t="s">
        <v>9</v>
      </c>
      <c r="B1215">
        <v>7696.9965239007197</v>
      </c>
      <c r="C1215">
        <v>218334.68</v>
      </c>
      <c r="D1215">
        <v>10.199732354847599</v>
      </c>
      <c r="E1215">
        <v>136</v>
      </c>
      <c r="F1215" t="s">
        <v>116</v>
      </c>
    </row>
    <row r="1216" spans="1:6" x14ac:dyDescent="0.2">
      <c r="A1216" t="s">
        <v>11</v>
      </c>
      <c r="B1216">
        <v>8003.0419801616099</v>
      </c>
      <c r="C1216">
        <v>229825.63</v>
      </c>
      <c r="D1216">
        <v>10.440124676195801</v>
      </c>
      <c r="E1216">
        <v>136</v>
      </c>
      <c r="F1216" t="s">
        <v>116</v>
      </c>
    </row>
    <row r="1217" spans="1:6" x14ac:dyDescent="0.2">
      <c r="A1217" t="s">
        <v>8</v>
      </c>
      <c r="B1217">
        <v>8332.0712951544192</v>
      </c>
      <c r="C1217">
        <v>70346.789999999994</v>
      </c>
      <c r="D1217">
        <v>10.712296018568701</v>
      </c>
      <c r="E1217">
        <v>136</v>
      </c>
      <c r="F1217" t="s">
        <v>116</v>
      </c>
    </row>
    <row r="1218" spans="1:6" x14ac:dyDescent="0.2">
      <c r="A1218" t="s">
        <v>9</v>
      </c>
      <c r="B1218">
        <v>8638.1184059729203</v>
      </c>
      <c r="C1218">
        <v>154322.57999999999</v>
      </c>
      <c r="D1218">
        <v>10.920996711222299</v>
      </c>
      <c r="E1218">
        <v>136</v>
      </c>
      <c r="F1218" t="s">
        <v>116</v>
      </c>
    </row>
    <row r="1219" spans="1:6" x14ac:dyDescent="0.2">
      <c r="A1219" t="s">
        <v>9</v>
      </c>
      <c r="B1219">
        <v>8944.1512602901203</v>
      </c>
      <c r="C1219">
        <v>82535.48</v>
      </c>
      <c r="D1219">
        <v>11.038978453048101</v>
      </c>
      <c r="E1219">
        <v>136</v>
      </c>
      <c r="F1219" t="s">
        <v>116</v>
      </c>
    </row>
    <row r="1220" spans="1:6" x14ac:dyDescent="0.2">
      <c r="A1220" t="s">
        <v>6</v>
      </c>
      <c r="B1220">
        <v>9249.1883542371306</v>
      </c>
      <c r="C1220">
        <v>134303.65</v>
      </c>
      <c r="D1220">
        <v>11.1569425598462</v>
      </c>
      <c r="E1220">
        <v>136</v>
      </c>
      <c r="F1220" t="s">
        <v>116</v>
      </c>
    </row>
    <row r="1221" spans="1:6" x14ac:dyDescent="0.2">
      <c r="A1221" t="s">
        <v>8</v>
      </c>
      <c r="B1221">
        <v>9578.2378848563894</v>
      </c>
      <c r="C1221">
        <v>54073.440000000002</v>
      </c>
      <c r="D1221">
        <v>11.4608730450948</v>
      </c>
      <c r="E1221">
        <v>136</v>
      </c>
      <c r="F1221" t="s">
        <v>116</v>
      </c>
    </row>
    <row r="1222" spans="1:6" x14ac:dyDescent="0.2">
      <c r="A1222" t="s">
        <v>10</v>
      </c>
      <c r="B1222">
        <v>9923.2553799751404</v>
      </c>
      <c r="C1222">
        <v>107505.78</v>
      </c>
      <c r="D1222">
        <v>11.547098644145301</v>
      </c>
      <c r="E1222">
        <v>136</v>
      </c>
      <c r="F1222" t="s">
        <v>116</v>
      </c>
    </row>
    <row r="1223" spans="1:6" x14ac:dyDescent="0.2">
      <c r="A1223" t="s">
        <v>10</v>
      </c>
      <c r="B1223">
        <v>3099.3262977878499</v>
      </c>
      <c r="C1223">
        <v>207296.68</v>
      </c>
      <c r="D1223">
        <v>2.6685131366729702</v>
      </c>
      <c r="E1223">
        <v>138</v>
      </c>
      <c r="F1223" t="s">
        <v>117</v>
      </c>
    </row>
    <row r="1224" spans="1:6" x14ac:dyDescent="0.2">
      <c r="A1224" t="s">
        <v>11</v>
      </c>
      <c r="B1224">
        <v>3444.3758791995301</v>
      </c>
      <c r="C1224">
        <v>227872.52</v>
      </c>
      <c r="D1224">
        <v>3.8069280381679498</v>
      </c>
      <c r="E1224">
        <v>138</v>
      </c>
      <c r="F1224" t="s">
        <v>117</v>
      </c>
    </row>
    <row r="1225" spans="1:6" x14ac:dyDescent="0.2">
      <c r="A1225" t="s">
        <v>9</v>
      </c>
      <c r="B1225">
        <v>3750.4043963050299</v>
      </c>
      <c r="C1225">
        <v>225788.82</v>
      </c>
      <c r="D1225">
        <v>4.6473744447708096</v>
      </c>
      <c r="E1225">
        <v>138</v>
      </c>
      <c r="F1225" t="s">
        <v>117</v>
      </c>
    </row>
    <row r="1226" spans="1:6" x14ac:dyDescent="0.2">
      <c r="A1226" t="s">
        <v>9</v>
      </c>
      <c r="B1226">
        <v>4056.4304607040499</v>
      </c>
      <c r="C1226">
        <v>50137.41</v>
      </c>
      <c r="D1226">
        <v>5.33877888676325</v>
      </c>
      <c r="E1226">
        <v>138</v>
      </c>
      <c r="F1226" t="s">
        <v>117</v>
      </c>
    </row>
    <row r="1227" spans="1:6" x14ac:dyDescent="0.2">
      <c r="A1227" t="s">
        <v>11</v>
      </c>
      <c r="B1227">
        <v>8034.0574313506604</v>
      </c>
      <c r="C1227">
        <v>219617.49</v>
      </c>
      <c r="D1227">
        <v>10.050083895095201</v>
      </c>
      <c r="E1227">
        <v>141</v>
      </c>
      <c r="F1227" t="s">
        <v>118</v>
      </c>
    </row>
    <row r="1228" spans="1:6" x14ac:dyDescent="0.2">
      <c r="A1228" t="s">
        <v>9</v>
      </c>
      <c r="B1228">
        <v>8340.0948491581094</v>
      </c>
      <c r="C1228">
        <v>198714.7</v>
      </c>
      <c r="D1228">
        <v>10.231469952631</v>
      </c>
      <c r="E1228">
        <v>141</v>
      </c>
      <c r="F1228" t="s">
        <v>118</v>
      </c>
    </row>
    <row r="1229" spans="1:6" x14ac:dyDescent="0.2">
      <c r="A1229" t="s">
        <v>10</v>
      </c>
      <c r="B1229">
        <v>8685.1311444805106</v>
      </c>
      <c r="C1229">
        <v>57970.47</v>
      </c>
      <c r="D1229">
        <v>10.3221977448146</v>
      </c>
      <c r="E1229">
        <v>141</v>
      </c>
      <c r="F1229" t="s">
        <v>118</v>
      </c>
    </row>
    <row r="1230" spans="1:6" x14ac:dyDescent="0.2">
      <c r="A1230" t="s">
        <v>8</v>
      </c>
      <c r="B1230">
        <v>9014.1930613854893</v>
      </c>
      <c r="C1230">
        <v>64091.76</v>
      </c>
      <c r="D1230">
        <v>10.6805319285075</v>
      </c>
      <c r="E1230">
        <v>141</v>
      </c>
      <c r="F1230" t="s">
        <v>118</v>
      </c>
    </row>
    <row r="1231" spans="1:6" x14ac:dyDescent="0.2">
      <c r="A1231" t="s">
        <v>6</v>
      </c>
      <c r="B1231">
        <v>4554.6049012947997</v>
      </c>
      <c r="C1231">
        <v>60327.41</v>
      </c>
      <c r="D1231">
        <v>5.6686851596514396</v>
      </c>
      <c r="E1231">
        <v>142</v>
      </c>
      <c r="F1231" t="s">
        <v>119</v>
      </c>
    </row>
    <row r="1232" spans="1:6" x14ac:dyDescent="0.2">
      <c r="A1232" t="s">
        <v>6</v>
      </c>
      <c r="B1232">
        <v>4859.6368269124596</v>
      </c>
      <c r="C1232">
        <v>39249.33</v>
      </c>
      <c r="D1232">
        <v>6.1206648703098301</v>
      </c>
      <c r="E1232">
        <v>142</v>
      </c>
      <c r="F1232" t="s">
        <v>119</v>
      </c>
    </row>
    <row r="1233" spans="1:6" x14ac:dyDescent="0.2">
      <c r="A1233" t="s">
        <v>9</v>
      </c>
      <c r="B1233">
        <v>5164.6762190780601</v>
      </c>
      <c r="C1233">
        <v>187802.38</v>
      </c>
      <c r="D1233">
        <v>7.7395614460786204</v>
      </c>
      <c r="E1233">
        <v>142</v>
      </c>
      <c r="F1233" t="s">
        <v>119</v>
      </c>
    </row>
    <row r="1234" spans="1:6" x14ac:dyDescent="0.2">
      <c r="A1234" t="s">
        <v>11</v>
      </c>
      <c r="B1234">
        <v>5470.7146014490399</v>
      </c>
      <c r="C1234">
        <v>219426.38</v>
      </c>
      <c r="D1234">
        <v>8.0699638203461994</v>
      </c>
      <c r="E1234">
        <v>142</v>
      </c>
      <c r="F1234" t="s">
        <v>119</v>
      </c>
    </row>
    <row r="1235" spans="1:6" x14ac:dyDescent="0.2">
      <c r="A1235" t="s">
        <v>9</v>
      </c>
      <c r="B1235">
        <v>5556.7914669787297</v>
      </c>
      <c r="C1235">
        <v>154411.73000000001</v>
      </c>
      <c r="D1235">
        <v>8.6721980766137392</v>
      </c>
      <c r="E1235">
        <v>143</v>
      </c>
      <c r="F1235" t="s">
        <v>120</v>
      </c>
    </row>
    <row r="1236" spans="1:6" x14ac:dyDescent="0.2">
      <c r="A1236" t="s">
        <v>11</v>
      </c>
      <c r="B1236">
        <v>5862.8404195364901</v>
      </c>
      <c r="C1236">
        <v>219394.38</v>
      </c>
      <c r="D1236">
        <v>9.1525961355050391</v>
      </c>
      <c r="E1236">
        <v>143</v>
      </c>
      <c r="F1236" t="s">
        <v>120</v>
      </c>
    </row>
    <row r="1237" spans="1:6" x14ac:dyDescent="0.2">
      <c r="A1237" t="s">
        <v>9</v>
      </c>
      <c r="B1237">
        <v>6168.8868958227704</v>
      </c>
      <c r="C1237">
        <v>71350.2</v>
      </c>
      <c r="D1237">
        <v>9.3882361785252897</v>
      </c>
      <c r="E1237">
        <v>143</v>
      </c>
      <c r="F1237" t="s">
        <v>120</v>
      </c>
    </row>
    <row r="1238" spans="1:6" x14ac:dyDescent="0.2">
      <c r="A1238" t="s">
        <v>8</v>
      </c>
      <c r="B1238">
        <v>6497.9303985073702</v>
      </c>
      <c r="C1238">
        <v>39891.919999999998</v>
      </c>
      <c r="D1238">
        <v>9.7190961773872395</v>
      </c>
      <c r="E1238">
        <v>143</v>
      </c>
      <c r="F1238" t="s">
        <v>120</v>
      </c>
    </row>
    <row r="1239" spans="1:6" x14ac:dyDescent="0.2">
      <c r="A1239" t="s">
        <v>10</v>
      </c>
      <c r="B1239">
        <v>6842.9685817052195</v>
      </c>
      <c r="C1239">
        <v>82254.12</v>
      </c>
      <c r="D1239">
        <v>9.9594076609293598</v>
      </c>
      <c r="E1239">
        <v>143</v>
      </c>
      <c r="F1239" t="s">
        <v>120</v>
      </c>
    </row>
    <row r="1240" spans="1:6" x14ac:dyDescent="0.2">
      <c r="A1240" t="s">
        <v>10</v>
      </c>
      <c r="B1240">
        <v>5161.6863743916501</v>
      </c>
      <c r="C1240">
        <v>80099.649999999994</v>
      </c>
      <c r="D1240">
        <v>7.4093134279727897</v>
      </c>
      <c r="E1240">
        <v>144</v>
      </c>
      <c r="F1240" t="s">
        <v>121</v>
      </c>
    </row>
    <row r="1241" spans="1:6" x14ac:dyDescent="0.2">
      <c r="A1241" t="s">
        <v>10</v>
      </c>
      <c r="B1241">
        <v>5506.7135189811397</v>
      </c>
      <c r="C1241">
        <v>15170.11</v>
      </c>
      <c r="D1241">
        <v>7.7667061543146803</v>
      </c>
      <c r="E1241">
        <v>144</v>
      </c>
      <c r="F1241" t="s">
        <v>121</v>
      </c>
    </row>
    <row r="1242" spans="1:6" x14ac:dyDescent="0.2">
      <c r="A1242" t="s">
        <v>6</v>
      </c>
      <c r="B1242">
        <v>5851.7874739978297</v>
      </c>
      <c r="C1242">
        <v>51380.13</v>
      </c>
      <c r="D1242">
        <v>8.1288176512400305</v>
      </c>
      <c r="E1242">
        <v>144</v>
      </c>
      <c r="F1242" t="s">
        <v>121</v>
      </c>
    </row>
    <row r="1243" spans="1:6" x14ac:dyDescent="0.2">
      <c r="A1243" t="s">
        <v>11</v>
      </c>
      <c r="B1243">
        <v>6156.7993232501203</v>
      </c>
      <c r="C1243">
        <v>218394.99</v>
      </c>
      <c r="D1243">
        <v>8.6993728454589796</v>
      </c>
      <c r="E1243">
        <v>144</v>
      </c>
      <c r="F1243" t="s">
        <v>121</v>
      </c>
    </row>
    <row r="1244" spans="1:6" x14ac:dyDescent="0.2">
      <c r="A1244" t="s">
        <v>8</v>
      </c>
      <c r="B1244">
        <v>5542.7648172304698</v>
      </c>
      <c r="C1244">
        <v>112714.48</v>
      </c>
      <c r="D1244">
        <v>7.7667061543146803</v>
      </c>
      <c r="E1244">
        <v>145</v>
      </c>
      <c r="F1244" t="s">
        <v>122</v>
      </c>
    </row>
    <row r="1245" spans="1:6" x14ac:dyDescent="0.2">
      <c r="A1245" t="s">
        <v>11</v>
      </c>
      <c r="B1245">
        <v>5871.8366165669904</v>
      </c>
      <c r="C1245">
        <v>217490.9</v>
      </c>
      <c r="D1245">
        <v>8.4276596522013296</v>
      </c>
      <c r="E1245">
        <v>145</v>
      </c>
      <c r="F1245" t="s">
        <v>122</v>
      </c>
    </row>
    <row r="1246" spans="1:6" x14ac:dyDescent="0.2">
      <c r="A1246" t="s">
        <v>6</v>
      </c>
      <c r="B1246">
        <v>6176.8407525367602</v>
      </c>
      <c r="C1246">
        <v>29522.68</v>
      </c>
      <c r="D1246">
        <v>8.49104876872698</v>
      </c>
      <c r="E1246">
        <v>145</v>
      </c>
      <c r="F1246" t="s">
        <v>122</v>
      </c>
    </row>
    <row r="1247" spans="1:6" x14ac:dyDescent="0.2">
      <c r="A1247" t="s">
        <v>10</v>
      </c>
      <c r="B1247">
        <v>6521.9196009051902</v>
      </c>
      <c r="C1247">
        <v>37177.93</v>
      </c>
      <c r="D1247">
        <v>8.8806360796769503</v>
      </c>
      <c r="E1247">
        <v>145</v>
      </c>
      <c r="F1247" t="s">
        <v>122</v>
      </c>
    </row>
    <row r="1248" spans="1:6" x14ac:dyDescent="0.2">
      <c r="A1248" t="s">
        <v>10</v>
      </c>
      <c r="B1248">
        <v>6866.9340967457001</v>
      </c>
      <c r="C1248">
        <v>24709.81</v>
      </c>
      <c r="D1248">
        <v>9.5106034612337709</v>
      </c>
      <c r="E1248">
        <v>145</v>
      </c>
      <c r="F1248" t="s">
        <v>122</v>
      </c>
    </row>
    <row r="1249" spans="1:6" x14ac:dyDescent="0.2">
      <c r="A1249" t="s">
        <v>8</v>
      </c>
      <c r="B1249">
        <v>7196.0073859577196</v>
      </c>
      <c r="C1249">
        <v>18517.93</v>
      </c>
      <c r="D1249">
        <v>9.4788820937951392</v>
      </c>
      <c r="E1249">
        <v>145</v>
      </c>
      <c r="F1249" t="s">
        <v>122</v>
      </c>
    </row>
    <row r="1250" spans="1:6" x14ac:dyDescent="0.2">
      <c r="A1250" t="s">
        <v>6</v>
      </c>
      <c r="B1250">
        <v>7501.04784484826</v>
      </c>
      <c r="C1250">
        <v>43184.55</v>
      </c>
      <c r="D1250">
        <v>10.6215575611273</v>
      </c>
      <c r="E1250">
        <v>145</v>
      </c>
      <c r="F1250" t="s">
        <v>122</v>
      </c>
    </row>
    <row r="1251" spans="1:6" x14ac:dyDescent="0.2">
      <c r="A1251" t="s">
        <v>9</v>
      </c>
      <c r="B1251">
        <v>7807.1117238767802</v>
      </c>
      <c r="C1251">
        <v>67919.09</v>
      </c>
      <c r="D1251">
        <v>10.8030253108025</v>
      </c>
      <c r="E1251">
        <v>145</v>
      </c>
      <c r="F1251" t="s">
        <v>122</v>
      </c>
    </row>
    <row r="1252" spans="1:6" x14ac:dyDescent="0.2">
      <c r="A1252" t="s">
        <v>6</v>
      </c>
      <c r="B1252">
        <v>1882.21347139464</v>
      </c>
      <c r="C1252">
        <v>66646.11</v>
      </c>
      <c r="D1252">
        <v>0.98799588637351998</v>
      </c>
      <c r="E1252">
        <v>146</v>
      </c>
      <c r="F1252" t="s">
        <v>123</v>
      </c>
    </row>
    <row r="1253" spans="1:6" x14ac:dyDescent="0.2">
      <c r="A1253" t="s">
        <v>10</v>
      </c>
      <c r="B1253">
        <v>2187.2581732992498</v>
      </c>
      <c r="C1253">
        <v>78842.25</v>
      </c>
      <c r="D1253">
        <v>1.10996682004929</v>
      </c>
      <c r="E1253">
        <v>146</v>
      </c>
      <c r="F1253" t="s">
        <v>123</v>
      </c>
    </row>
    <row r="1254" spans="1:6" x14ac:dyDescent="0.2">
      <c r="A1254" t="s">
        <v>8</v>
      </c>
      <c r="B1254">
        <v>2532.3017850717001</v>
      </c>
      <c r="C1254">
        <v>214169.33</v>
      </c>
      <c r="D1254">
        <v>1.2003145213604001</v>
      </c>
      <c r="E1254">
        <v>146</v>
      </c>
      <c r="F1254" t="s">
        <v>123</v>
      </c>
    </row>
    <row r="1255" spans="1:6" x14ac:dyDescent="0.2">
      <c r="A1255" t="s">
        <v>11</v>
      </c>
      <c r="B1255">
        <v>2861.3446621315202</v>
      </c>
      <c r="C1255">
        <v>215832.06</v>
      </c>
      <c r="D1255">
        <v>3.26931646025976</v>
      </c>
      <c r="E1255">
        <v>146</v>
      </c>
      <c r="F1255" t="s">
        <v>123</v>
      </c>
    </row>
    <row r="1256" spans="1:6" x14ac:dyDescent="0.2">
      <c r="A1256" t="s">
        <v>8</v>
      </c>
      <c r="B1256">
        <v>3190.3971653472199</v>
      </c>
      <c r="C1256">
        <v>204987.75</v>
      </c>
      <c r="D1256">
        <v>4.7693796531041501</v>
      </c>
      <c r="E1256">
        <v>146</v>
      </c>
      <c r="F1256" t="s">
        <v>123</v>
      </c>
    </row>
    <row r="1257" spans="1:6" x14ac:dyDescent="0.2">
      <c r="A1257" t="s">
        <v>8</v>
      </c>
      <c r="B1257">
        <v>3519.4524805779301</v>
      </c>
      <c r="C1257">
        <v>194768.77</v>
      </c>
      <c r="D1257">
        <v>5.8494748866240203</v>
      </c>
      <c r="E1257">
        <v>146</v>
      </c>
      <c r="F1257" t="s">
        <v>123</v>
      </c>
    </row>
    <row r="1258" spans="1:6" x14ac:dyDescent="0.2">
      <c r="A1258" t="s">
        <v>10</v>
      </c>
      <c r="B1258">
        <v>3864.52397392685</v>
      </c>
      <c r="C1258">
        <v>119886.38</v>
      </c>
      <c r="D1258">
        <v>4.1412692184925097</v>
      </c>
      <c r="E1258">
        <v>146</v>
      </c>
      <c r="F1258" t="s">
        <v>123</v>
      </c>
    </row>
    <row r="1259" spans="1:6" x14ac:dyDescent="0.2">
      <c r="A1259" t="s">
        <v>9</v>
      </c>
      <c r="B1259">
        <v>4170.5439923638796</v>
      </c>
      <c r="C1259">
        <v>212162.82</v>
      </c>
      <c r="D1259">
        <v>5.1896401122887896</v>
      </c>
      <c r="E1259">
        <v>146</v>
      </c>
      <c r="F1259" t="s">
        <v>123</v>
      </c>
    </row>
    <row r="1260" spans="1:6" x14ac:dyDescent="0.2">
      <c r="A1260" t="s">
        <v>9</v>
      </c>
      <c r="B1260">
        <v>4476.5889431796504</v>
      </c>
      <c r="C1260">
        <v>179956.83</v>
      </c>
      <c r="D1260">
        <v>7.2871672606150302</v>
      </c>
      <c r="E1260">
        <v>146</v>
      </c>
      <c r="F1260" t="s">
        <v>123</v>
      </c>
    </row>
    <row r="1261" spans="1:6" x14ac:dyDescent="0.2">
      <c r="A1261" t="s">
        <v>8</v>
      </c>
      <c r="B1261">
        <v>4805.65406855533</v>
      </c>
      <c r="C1261">
        <v>121540.52</v>
      </c>
      <c r="D1261">
        <v>7.9205819860776296</v>
      </c>
      <c r="E1261">
        <v>146</v>
      </c>
      <c r="F1261" t="s">
        <v>123</v>
      </c>
    </row>
    <row r="1262" spans="1:6" x14ac:dyDescent="0.2">
      <c r="A1262" t="s">
        <v>8</v>
      </c>
      <c r="B1262">
        <v>2217.2699314946599</v>
      </c>
      <c r="C1262">
        <v>98534.54</v>
      </c>
      <c r="D1262">
        <v>0.78020909385681203</v>
      </c>
      <c r="E1262">
        <v>148</v>
      </c>
      <c r="F1262" t="s">
        <v>124</v>
      </c>
    </row>
    <row r="1263" spans="1:6" x14ac:dyDescent="0.2">
      <c r="A1263" t="s">
        <v>9</v>
      </c>
      <c r="B1263">
        <v>2546.3335654012199</v>
      </c>
      <c r="C1263">
        <v>107378.78</v>
      </c>
      <c r="D1263">
        <v>0.92926780339876802</v>
      </c>
      <c r="E1263">
        <v>148</v>
      </c>
      <c r="F1263" t="s">
        <v>124</v>
      </c>
    </row>
    <row r="1264" spans="1:6" x14ac:dyDescent="0.2">
      <c r="A1264" t="s">
        <v>8</v>
      </c>
      <c r="B1264">
        <v>2852.3531305996798</v>
      </c>
      <c r="C1264">
        <v>169010.21</v>
      </c>
      <c r="D1264">
        <v>1.1686931864102701</v>
      </c>
      <c r="E1264">
        <v>148</v>
      </c>
      <c r="F1264" t="s">
        <v>124</v>
      </c>
    </row>
    <row r="1265" spans="1:6" x14ac:dyDescent="0.2">
      <c r="A1265" t="s">
        <v>11</v>
      </c>
      <c r="B1265">
        <v>3181.41108233569</v>
      </c>
      <c r="C1265">
        <v>214504.28</v>
      </c>
      <c r="D1265">
        <v>2.6097861702918999</v>
      </c>
      <c r="E1265">
        <v>148</v>
      </c>
      <c r="F1265" t="s">
        <v>124</v>
      </c>
    </row>
    <row r="1266" spans="1:6" x14ac:dyDescent="0.2">
      <c r="A1266" t="s">
        <v>9</v>
      </c>
      <c r="B1266">
        <v>1663.27485169497</v>
      </c>
      <c r="C1266">
        <v>188402.51</v>
      </c>
      <c r="D1266">
        <v>1.14158847090403</v>
      </c>
      <c r="E1266">
        <v>149</v>
      </c>
      <c r="F1266" t="s">
        <v>125</v>
      </c>
    </row>
    <row r="1267" spans="1:6" x14ac:dyDescent="0.2">
      <c r="A1267" t="s">
        <v>9</v>
      </c>
      <c r="B1267">
        <v>1969.30696759016</v>
      </c>
      <c r="C1267">
        <v>21504.240000000002</v>
      </c>
      <c r="D1267">
        <v>1.7107927099545801</v>
      </c>
      <c r="E1267">
        <v>149</v>
      </c>
      <c r="F1267" t="s">
        <v>125</v>
      </c>
    </row>
    <row r="1268" spans="1:6" x14ac:dyDescent="0.2">
      <c r="A1268" t="s">
        <v>9</v>
      </c>
      <c r="B1268">
        <v>2275.33265032298</v>
      </c>
      <c r="C1268">
        <v>50407.85</v>
      </c>
      <c r="D1268">
        <v>2.82210337079366</v>
      </c>
      <c r="E1268">
        <v>149</v>
      </c>
      <c r="F1268" t="s">
        <v>125</v>
      </c>
    </row>
    <row r="1269" spans="1:6" x14ac:dyDescent="0.2">
      <c r="A1269" t="s">
        <v>8</v>
      </c>
      <c r="B1269">
        <v>2581.3579633940699</v>
      </c>
      <c r="C1269">
        <v>114350.84</v>
      </c>
      <c r="D1269">
        <v>3.8972981528123198</v>
      </c>
      <c r="E1269">
        <v>149</v>
      </c>
      <c r="F1269" t="s">
        <v>125</v>
      </c>
    </row>
    <row r="1270" spans="1:6" x14ac:dyDescent="0.2">
      <c r="A1270" t="s">
        <v>6</v>
      </c>
      <c r="B1270">
        <v>2910.4097615525802</v>
      </c>
      <c r="C1270">
        <v>14466.2</v>
      </c>
      <c r="D1270">
        <v>5.33877888676325</v>
      </c>
      <c r="E1270">
        <v>149</v>
      </c>
      <c r="F1270" t="s">
        <v>125</v>
      </c>
    </row>
    <row r="1271" spans="1:6" x14ac:dyDescent="0.2">
      <c r="A1271" t="s">
        <v>11</v>
      </c>
      <c r="B1271">
        <v>3215.4540412501801</v>
      </c>
      <c r="C1271">
        <v>213754.1</v>
      </c>
      <c r="D1271">
        <v>5.7319597537994396</v>
      </c>
      <c r="E1271">
        <v>149</v>
      </c>
      <c r="F1271" t="s">
        <v>125</v>
      </c>
    </row>
    <row r="1272" spans="1:6" x14ac:dyDescent="0.2">
      <c r="A1272" t="s">
        <v>9</v>
      </c>
      <c r="B1272">
        <v>3521.47526667079</v>
      </c>
      <c r="C1272">
        <v>117842.28</v>
      </c>
      <c r="D1272">
        <v>6.0573838130315103</v>
      </c>
      <c r="E1272">
        <v>149</v>
      </c>
      <c r="F1272" t="s">
        <v>125</v>
      </c>
    </row>
    <row r="1273" spans="1:6" x14ac:dyDescent="0.2">
      <c r="A1273" t="s">
        <v>9</v>
      </c>
      <c r="B1273">
        <v>3827.5035803605701</v>
      </c>
      <c r="C1273">
        <v>121392.89</v>
      </c>
      <c r="D1273">
        <v>7.0203313028494501</v>
      </c>
      <c r="E1273">
        <v>149</v>
      </c>
      <c r="F1273" t="s">
        <v>125</v>
      </c>
    </row>
    <row r="1274" spans="1:6" x14ac:dyDescent="0.2">
      <c r="A1274" t="s">
        <v>6</v>
      </c>
      <c r="B1274">
        <v>4132.5148191716298</v>
      </c>
      <c r="C1274">
        <v>80170.48</v>
      </c>
      <c r="D1274">
        <v>5.1896401122887896</v>
      </c>
      <c r="E1274">
        <v>149</v>
      </c>
      <c r="F1274" t="s">
        <v>125</v>
      </c>
    </row>
    <row r="1275" spans="1:6" x14ac:dyDescent="0.2">
      <c r="A1275" t="s">
        <v>10</v>
      </c>
      <c r="B1275">
        <v>4477.5654543785804</v>
      </c>
      <c r="C1275">
        <v>41713.56</v>
      </c>
      <c r="D1275">
        <v>5.7907224849542001</v>
      </c>
      <c r="E1275">
        <v>149</v>
      </c>
      <c r="F1275" t="s">
        <v>125</v>
      </c>
    </row>
    <row r="1276" spans="1:6" x14ac:dyDescent="0.2">
      <c r="A1276" t="s">
        <v>6</v>
      </c>
      <c r="B1276">
        <v>4782.6051483168803</v>
      </c>
      <c r="C1276">
        <v>110380.1</v>
      </c>
      <c r="D1276">
        <v>6.2698493615468296</v>
      </c>
      <c r="E1276">
        <v>149</v>
      </c>
      <c r="F1276" t="s">
        <v>125</v>
      </c>
    </row>
    <row r="1277" spans="1:6" x14ac:dyDescent="0.2">
      <c r="A1277" t="s">
        <v>11</v>
      </c>
      <c r="B1277">
        <v>2323.3187001520701</v>
      </c>
      <c r="C1277">
        <v>212165.01</v>
      </c>
      <c r="D1277">
        <v>1.2003145213604001</v>
      </c>
      <c r="E1277">
        <v>150</v>
      </c>
      <c r="F1277" t="s">
        <v>126</v>
      </c>
    </row>
    <row r="1278" spans="1:6" x14ac:dyDescent="0.2">
      <c r="A1278" t="s">
        <v>10</v>
      </c>
      <c r="B1278">
        <v>2668.3685482578899</v>
      </c>
      <c r="C1278">
        <v>140463.81</v>
      </c>
      <c r="D1278">
        <v>1.64755338784854</v>
      </c>
      <c r="E1278">
        <v>150</v>
      </c>
      <c r="F1278" t="s">
        <v>126</v>
      </c>
    </row>
    <row r="1279" spans="1:6" x14ac:dyDescent="0.2">
      <c r="A1279" t="s">
        <v>10</v>
      </c>
      <c r="B1279">
        <v>3013.4155272757698</v>
      </c>
      <c r="C1279">
        <v>68805.86</v>
      </c>
      <c r="D1279">
        <v>2.6097861702918999</v>
      </c>
      <c r="E1279">
        <v>150</v>
      </c>
      <c r="F1279" t="s">
        <v>126</v>
      </c>
    </row>
    <row r="1280" spans="1:6" x14ac:dyDescent="0.2">
      <c r="A1280" t="s">
        <v>10</v>
      </c>
      <c r="B1280">
        <v>3358.4652668508202</v>
      </c>
      <c r="C1280">
        <v>13376.56</v>
      </c>
      <c r="D1280">
        <v>3.8069280381679498</v>
      </c>
      <c r="E1280">
        <v>150</v>
      </c>
      <c r="F1280" t="s">
        <v>126</v>
      </c>
    </row>
    <row r="1281" spans="1:6" x14ac:dyDescent="0.2">
      <c r="A1281" t="s">
        <v>9</v>
      </c>
      <c r="B1281">
        <v>3664.4930252106701</v>
      </c>
      <c r="C1281">
        <v>49008.65</v>
      </c>
      <c r="D1281">
        <v>4.7377503291448004</v>
      </c>
      <c r="E1281">
        <v>150</v>
      </c>
      <c r="F1281" t="s">
        <v>126</v>
      </c>
    </row>
    <row r="1282" spans="1:6" x14ac:dyDescent="0.2">
      <c r="A1282" t="s">
        <v>6</v>
      </c>
      <c r="B1282">
        <v>3969.5332647770902</v>
      </c>
      <c r="C1282">
        <v>70148.89</v>
      </c>
      <c r="D1282">
        <v>5.2800288613319397</v>
      </c>
      <c r="E1282">
        <v>150</v>
      </c>
      <c r="F1282" t="s">
        <v>126</v>
      </c>
    </row>
    <row r="1283" spans="1:6" x14ac:dyDescent="0.2">
      <c r="A1283" t="s">
        <v>10</v>
      </c>
      <c r="B1283">
        <v>4314.5848212413102</v>
      </c>
      <c r="C1283">
        <v>18095.12</v>
      </c>
      <c r="D1283">
        <v>6.0302656864801998</v>
      </c>
      <c r="E1283">
        <v>150</v>
      </c>
      <c r="F1283" t="s">
        <v>126</v>
      </c>
    </row>
    <row r="1284" spans="1:6" x14ac:dyDescent="0.2">
      <c r="A1284" t="s">
        <v>10</v>
      </c>
      <c r="B1284">
        <v>4659.6252882278504</v>
      </c>
      <c r="C1284">
        <v>165762.1</v>
      </c>
      <c r="D1284">
        <v>5.1625245864868203</v>
      </c>
      <c r="E1284">
        <v>150</v>
      </c>
      <c r="F1284" t="s">
        <v>126</v>
      </c>
    </row>
    <row r="1285" spans="1:6" x14ac:dyDescent="0.2">
      <c r="A1285" t="s">
        <v>11</v>
      </c>
      <c r="B1285">
        <v>9633.2275541081308</v>
      </c>
      <c r="C1285">
        <v>208109.64</v>
      </c>
      <c r="D1285">
        <v>11.2794166938146</v>
      </c>
      <c r="E1285">
        <v>153</v>
      </c>
      <c r="F1285" t="s">
        <v>127</v>
      </c>
    </row>
    <row r="1286" spans="1:6" x14ac:dyDescent="0.2">
      <c r="A1286" t="s">
        <v>8</v>
      </c>
      <c r="B1286">
        <v>9962.3002435247599</v>
      </c>
      <c r="C1286">
        <v>26138.639999999999</v>
      </c>
      <c r="D1286">
        <v>11.637894735304499</v>
      </c>
      <c r="E1286">
        <v>153</v>
      </c>
      <c r="F1286" t="s">
        <v>127</v>
      </c>
    </row>
    <row r="1287" spans="1:6" x14ac:dyDescent="0.2">
      <c r="A1287" t="s">
        <v>6</v>
      </c>
      <c r="B1287">
        <v>10267.3083862818</v>
      </c>
      <c r="C1287">
        <v>71817.929999999993</v>
      </c>
      <c r="D1287">
        <v>11.6106496349653</v>
      </c>
      <c r="E1287">
        <v>153</v>
      </c>
      <c r="F1287" t="s">
        <v>127</v>
      </c>
    </row>
    <row r="1288" spans="1:6" x14ac:dyDescent="0.2">
      <c r="A1288" t="s">
        <v>10</v>
      </c>
      <c r="B1288">
        <v>10612.378977656301</v>
      </c>
      <c r="C1288">
        <v>89925.82</v>
      </c>
      <c r="D1288">
        <v>11.728699936040201</v>
      </c>
      <c r="E1288">
        <v>153</v>
      </c>
      <c r="F1288" t="s">
        <v>127</v>
      </c>
    </row>
    <row r="1289" spans="1:6" x14ac:dyDescent="0.2">
      <c r="A1289" t="s">
        <v>11</v>
      </c>
      <c r="B1289">
        <v>2593.3628863849799</v>
      </c>
      <c r="C1289">
        <v>207309.31</v>
      </c>
      <c r="D1289">
        <v>1.2319364364623999</v>
      </c>
      <c r="E1289">
        <v>154</v>
      </c>
      <c r="F1289" t="s">
        <v>128</v>
      </c>
    </row>
    <row r="1290" spans="1:6" x14ac:dyDescent="0.2">
      <c r="A1290" t="s">
        <v>10</v>
      </c>
      <c r="B1290">
        <v>2938.4067068588101</v>
      </c>
      <c r="C1290">
        <v>101060.55</v>
      </c>
      <c r="D1290">
        <v>2.3703532870292698</v>
      </c>
      <c r="E1290">
        <v>154</v>
      </c>
      <c r="F1290" t="s">
        <v>128</v>
      </c>
    </row>
    <row r="1291" spans="1:6" x14ac:dyDescent="0.2">
      <c r="A1291" t="s">
        <v>6</v>
      </c>
      <c r="B1291">
        <v>3243.4413395485199</v>
      </c>
      <c r="C1291">
        <v>85093.88</v>
      </c>
      <c r="D1291">
        <v>3.14734969493548</v>
      </c>
      <c r="E1291">
        <v>154</v>
      </c>
      <c r="F1291" t="s">
        <v>128</v>
      </c>
    </row>
    <row r="1292" spans="1:6" x14ac:dyDescent="0.2">
      <c r="A1292" t="s">
        <v>9</v>
      </c>
      <c r="B1292">
        <v>3549.47549604295</v>
      </c>
      <c r="C1292">
        <v>74972.600000000006</v>
      </c>
      <c r="D1292">
        <v>4.1683786526997899</v>
      </c>
      <c r="E1292">
        <v>154</v>
      </c>
      <c r="F1292" t="s">
        <v>128</v>
      </c>
    </row>
    <row r="1293" spans="1:6" x14ac:dyDescent="0.2">
      <c r="A1293" t="s">
        <v>10</v>
      </c>
      <c r="B1293">
        <v>3894.5256997680399</v>
      </c>
      <c r="C1293">
        <v>93829.88</v>
      </c>
      <c r="D1293">
        <v>5.0405052121162397</v>
      </c>
      <c r="E1293">
        <v>154</v>
      </c>
      <c r="F1293" t="s">
        <v>128</v>
      </c>
    </row>
    <row r="1294" spans="1:6" x14ac:dyDescent="0.2">
      <c r="A1294" t="s">
        <v>10</v>
      </c>
      <c r="B1294">
        <v>4239.5638499386896</v>
      </c>
      <c r="C1294">
        <v>57443.4</v>
      </c>
      <c r="D1294">
        <v>5.7319597537994396</v>
      </c>
      <c r="E1294">
        <v>154</v>
      </c>
      <c r="F1294" t="s">
        <v>128</v>
      </c>
    </row>
    <row r="1295" spans="1:6" x14ac:dyDescent="0.2">
      <c r="A1295" t="s">
        <v>9</v>
      </c>
      <c r="B1295">
        <v>4545.5945762272004</v>
      </c>
      <c r="C1295">
        <v>60349.98</v>
      </c>
      <c r="D1295">
        <v>6.2110808606624603</v>
      </c>
      <c r="E1295">
        <v>154</v>
      </c>
      <c r="F1295" t="s">
        <v>128</v>
      </c>
    </row>
    <row r="1296" spans="1:6" x14ac:dyDescent="0.2">
      <c r="A1296" t="s">
        <v>10</v>
      </c>
      <c r="B1296">
        <v>2514.3372774545601</v>
      </c>
      <c r="C1296">
        <v>45185.82</v>
      </c>
      <c r="D1296">
        <v>1.5888249849955201</v>
      </c>
      <c r="E1296">
        <v>155</v>
      </c>
      <c r="F1296" t="s">
        <v>129</v>
      </c>
    </row>
    <row r="1297" spans="1:6" x14ac:dyDescent="0.2">
      <c r="A1297" t="s">
        <v>6</v>
      </c>
      <c r="B1297">
        <v>2859.3807905581498</v>
      </c>
      <c r="C1297">
        <v>176873.75</v>
      </c>
      <c r="D1297">
        <v>2.0993091936588302</v>
      </c>
      <c r="E1297">
        <v>155</v>
      </c>
      <c r="F1297" t="s">
        <v>129</v>
      </c>
    </row>
    <row r="1298" spans="1:6" x14ac:dyDescent="0.2">
      <c r="A1298" t="s">
        <v>8</v>
      </c>
      <c r="B1298">
        <v>3164.3970946404902</v>
      </c>
      <c r="C1298">
        <v>31478.84</v>
      </c>
      <c r="D1298">
        <v>3.14734969493548</v>
      </c>
      <c r="E1298">
        <v>155</v>
      </c>
      <c r="F1298" t="s">
        <v>129</v>
      </c>
    </row>
    <row r="1299" spans="1:6" x14ac:dyDescent="0.2">
      <c r="A1299" t="s">
        <v>10</v>
      </c>
      <c r="B1299">
        <v>3493.4623156907801</v>
      </c>
      <c r="C1299">
        <v>60049.34</v>
      </c>
      <c r="D1299">
        <v>4.4394991870403304</v>
      </c>
      <c r="E1299">
        <v>155</v>
      </c>
      <c r="F1299" t="s">
        <v>129</v>
      </c>
    </row>
    <row r="1300" spans="1:6" x14ac:dyDescent="0.2">
      <c r="A1300" t="s">
        <v>11</v>
      </c>
      <c r="B1300">
        <v>3838.50826369896</v>
      </c>
      <c r="C1300">
        <v>207083.6</v>
      </c>
      <c r="D1300">
        <v>5.1625245864868203</v>
      </c>
      <c r="E1300">
        <v>155</v>
      </c>
      <c r="F1300" t="s">
        <v>129</v>
      </c>
    </row>
    <row r="1301" spans="1:6" x14ac:dyDescent="0.2">
      <c r="A1301" t="s">
        <v>9</v>
      </c>
      <c r="B1301">
        <v>6833.9185418330298</v>
      </c>
      <c r="C1301">
        <v>15432.52</v>
      </c>
      <c r="D1301">
        <v>9.2976035789330798</v>
      </c>
      <c r="E1301">
        <v>157</v>
      </c>
      <c r="F1301" t="s">
        <v>130</v>
      </c>
    </row>
    <row r="1302" spans="1:6" x14ac:dyDescent="0.2">
      <c r="A1302" t="s">
        <v>9</v>
      </c>
      <c r="B1302">
        <v>7139.9505504741901</v>
      </c>
      <c r="C1302">
        <v>34175.230000000003</v>
      </c>
      <c r="D1302">
        <v>9.5695250208854699</v>
      </c>
      <c r="E1302">
        <v>157</v>
      </c>
      <c r="F1302" t="s">
        <v>130</v>
      </c>
    </row>
    <row r="1303" spans="1:6" x14ac:dyDescent="0.2">
      <c r="A1303" t="s">
        <v>8</v>
      </c>
      <c r="B1303">
        <v>7445.98945009411</v>
      </c>
      <c r="C1303">
        <v>141245.62</v>
      </c>
      <c r="D1303">
        <v>9.8415162280877393</v>
      </c>
      <c r="E1303">
        <v>157</v>
      </c>
      <c r="F1303" t="s">
        <v>130</v>
      </c>
    </row>
    <row r="1304" spans="1:6" x14ac:dyDescent="0.2">
      <c r="A1304" t="s">
        <v>11</v>
      </c>
      <c r="B1304">
        <v>7775.0425447809603</v>
      </c>
      <c r="C1304">
        <v>204139.64</v>
      </c>
      <c r="D1304">
        <v>10.258681902853599</v>
      </c>
      <c r="E1304">
        <v>157</v>
      </c>
      <c r="F1304" t="s">
        <v>130</v>
      </c>
    </row>
    <row r="1305" spans="1:6" x14ac:dyDescent="0.2">
      <c r="A1305" t="s">
        <v>10</v>
      </c>
      <c r="B1305">
        <v>3212.4441789674202</v>
      </c>
      <c r="C1305">
        <v>186652.77</v>
      </c>
      <c r="D1305">
        <v>4.5931445117473597</v>
      </c>
      <c r="E1305">
        <v>158</v>
      </c>
      <c r="F1305" t="s">
        <v>131</v>
      </c>
    </row>
    <row r="1306" spans="1:6" x14ac:dyDescent="0.2">
      <c r="A1306" t="s">
        <v>11</v>
      </c>
      <c r="B1306">
        <v>3557.4895360447099</v>
      </c>
      <c r="C1306">
        <v>201056.16</v>
      </c>
      <c r="D1306">
        <v>5.4879047031879402</v>
      </c>
      <c r="E1306">
        <v>158</v>
      </c>
      <c r="F1306" t="s">
        <v>131</v>
      </c>
    </row>
    <row r="1307" spans="1:6" x14ac:dyDescent="0.2">
      <c r="A1307" t="s">
        <v>10</v>
      </c>
      <c r="B1307">
        <v>3902.5354691665202</v>
      </c>
      <c r="C1307">
        <v>166717.73000000001</v>
      </c>
      <c r="D1307">
        <v>5.8811136698405004</v>
      </c>
      <c r="E1307">
        <v>158</v>
      </c>
      <c r="F1307" t="s">
        <v>131</v>
      </c>
    </row>
    <row r="1308" spans="1:6" x14ac:dyDescent="0.2">
      <c r="A1308" t="s">
        <v>10</v>
      </c>
      <c r="B1308">
        <v>4247.5951476252303</v>
      </c>
      <c r="C1308">
        <v>63967.33</v>
      </c>
      <c r="D1308">
        <v>6.3014941866874699</v>
      </c>
      <c r="E1308">
        <v>158</v>
      </c>
      <c r="F1308" t="s">
        <v>131</v>
      </c>
    </row>
    <row r="1309" spans="1:6" x14ac:dyDescent="0.2">
      <c r="A1309" t="s">
        <v>10</v>
      </c>
      <c r="B1309">
        <v>4592.6319367436299</v>
      </c>
      <c r="C1309">
        <v>182651.72</v>
      </c>
      <c r="D1309">
        <v>6.9886735196590397</v>
      </c>
      <c r="E1309">
        <v>158</v>
      </c>
      <c r="F1309" t="s">
        <v>131</v>
      </c>
    </row>
    <row r="1310" spans="1:6" x14ac:dyDescent="0.2">
      <c r="A1310" t="s">
        <v>8</v>
      </c>
      <c r="B1310">
        <v>4921.6942893530404</v>
      </c>
      <c r="C1310">
        <v>148198.32</v>
      </c>
      <c r="D1310">
        <v>7.6490736877600298</v>
      </c>
      <c r="E1310">
        <v>158</v>
      </c>
      <c r="F1310" t="s">
        <v>131</v>
      </c>
    </row>
    <row r="1311" spans="1:6" x14ac:dyDescent="0.2">
      <c r="A1311" t="s">
        <v>10</v>
      </c>
      <c r="B1311">
        <v>5266.74292301895</v>
      </c>
      <c r="C1311">
        <v>75645.08</v>
      </c>
      <c r="D1311">
        <v>8.0382720863501191</v>
      </c>
      <c r="E1311">
        <v>158</v>
      </c>
      <c r="F1311" t="s">
        <v>131</v>
      </c>
    </row>
    <row r="1312" spans="1:6" x14ac:dyDescent="0.2">
      <c r="A1312" t="s">
        <v>6</v>
      </c>
      <c r="B1312">
        <v>5571.7880024694696</v>
      </c>
      <c r="C1312">
        <v>36749.53</v>
      </c>
      <c r="D1312">
        <v>8.1605094110647798</v>
      </c>
      <c r="E1312">
        <v>158</v>
      </c>
      <c r="F1312" t="s">
        <v>131</v>
      </c>
    </row>
    <row r="1313" spans="1:6" x14ac:dyDescent="0.2">
      <c r="A1313" t="s">
        <v>9</v>
      </c>
      <c r="B1313">
        <v>5877.7967146178398</v>
      </c>
      <c r="C1313">
        <v>82773.94</v>
      </c>
      <c r="D1313">
        <v>8.5816215947945906</v>
      </c>
      <c r="E1313">
        <v>158</v>
      </c>
      <c r="F1313" t="s">
        <v>131</v>
      </c>
    </row>
    <row r="1314" spans="1:6" x14ac:dyDescent="0.2">
      <c r="A1314" t="s">
        <v>8</v>
      </c>
      <c r="B1314">
        <v>6206.8634624740798</v>
      </c>
      <c r="C1314">
        <v>24189.41</v>
      </c>
      <c r="D1314">
        <v>9.0891361212412498</v>
      </c>
      <c r="E1314">
        <v>158</v>
      </c>
      <c r="F1314" t="s">
        <v>131</v>
      </c>
    </row>
    <row r="1315" spans="1:6" x14ac:dyDescent="0.2">
      <c r="A1315" t="s">
        <v>8</v>
      </c>
      <c r="B1315">
        <v>6535.9186717621897</v>
      </c>
      <c r="C1315">
        <v>10184.5</v>
      </c>
      <c r="D1315">
        <v>9.5967154518445295</v>
      </c>
      <c r="E1315">
        <v>158</v>
      </c>
      <c r="F1315" t="s">
        <v>131</v>
      </c>
    </row>
    <row r="1316" spans="1:6" x14ac:dyDescent="0.2">
      <c r="A1316" t="s">
        <v>9</v>
      </c>
      <c r="B1316">
        <v>1971.2383948634799</v>
      </c>
      <c r="C1316">
        <v>25821.97</v>
      </c>
      <c r="D1316">
        <v>0.89764954404830899</v>
      </c>
      <c r="E1316">
        <v>160</v>
      </c>
      <c r="F1316" t="s">
        <v>132</v>
      </c>
    </row>
    <row r="1317" spans="1:6" x14ac:dyDescent="0.2">
      <c r="A1317" t="s">
        <v>8</v>
      </c>
      <c r="B1317">
        <v>2277.2624771678902</v>
      </c>
      <c r="C1317">
        <v>163617.1</v>
      </c>
      <c r="D1317">
        <v>0.89764954404830899</v>
      </c>
      <c r="E1317">
        <v>160</v>
      </c>
      <c r="F1317" t="s">
        <v>132</v>
      </c>
    </row>
    <row r="1318" spans="1:6" x14ac:dyDescent="0.2">
      <c r="A1318" t="s">
        <v>11</v>
      </c>
      <c r="B1318">
        <v>2606.3210362875998</v>
      </c>
      <c r="C1318">
        <v>199845.99</v>
      </c>
      <c r="D1318">
        <v>1.259041370519</v>
      </c>
      <c r="E1318">
        <v>160</v>
      </c>
      <c r="F1318" t="s">
        <v>132</v>
      </c>
    </row>
    <row r="1319" spans="1:6" x14ac:dyDescent="0.2">
      <c r="A1319" t="s">
        <v>10</v>
      </c>
      <c r="B1319">
        <v>2951.3718753281701</v>
      </c>
      <c r="C1319">
        <v>53537.3</v>
      </c>
      <c r="D1319">
        <v>2.1896585698604598</v>
      </c>
      <c r="E1319">
        <v>160</v>
      </c>
      <c r="F1319" t="s">
        <v>132</v>
      </c>
    </row>
    <row r="1320" spans="1:6" x14ac:dyDescent="0.2">
      <c r="A1320" t="s">
        <v>11</v>
      </c>
      <c r="B1320">
        <v>3562.4443809149798</v>
      </c>
      <c r="C1320">
        <v>198965.87</v>
      </c>
      <c r="D1320">
        <v>4.07801836090088</v>
      </c>
      <c r="E1320">
        <v>161</v>
      </c>
      <c r="F1320" t="s">
        <v>133</v>
      </c>
    </row>
    <row r="1321" spans="1:6" x14ac:dyDescent="0.2">
      <c r="A1321" t="s">
        <v>10</v>
      </c>
      <c r="B1321">
        <v>3907.4912351872999</v>
      </c>
      <c r="C1321">
        <v>112810.95</v>
      </c>
      <c r="D1321">
        <v>5.0992564197063404</v>
      </c>
      <c r="E1321">
        <v>161</v>
      </c>
      <c r="F1321" t="s">
        <v>133</v>
      </c>
    </row>
    <row r="1322" spans="1:6" x14ac:dyDescent="0.2">
      <c r="A1322" t="s">
        <v>6</v>
      </c>
      <c r="B1322">
        <v>4212.5262803653004</v>
      </c>
      <c r="C1322">
        <v>193418.91</v>
      </c>
      <c r="D1322">
        <v>5.5511773522377004</v>
      </c>
      <c r="E1322">
        <v>161</v>
      </c>
      <c r="F1322" t="s">
        <v>133</v>
      </c>
    </row>
    <row r="1323" spans="1:6" x14ac:dyDescent="0.2">
      <c r="A1323" t="s">
        <v>6</v>
      </c>
      <c r="B1323">
        <v>4517.6070100083998</v>
      </c>
      <c r="C1323">
        <v>108429.3</v>
      </c>
      <c r="D1323">
        <v>7.9205819860776296</v>
      </c>
      <c r="E1323">
        <v>161</v>
      </c>
      <c r="F1323" t="s">
        <v>133</v>
      </c>
    </row>
    <row r="1324" spans="1:6" x14ac:dyDescent="0.2">
      <c r="A1324" t="s">
        <v>10</v>
      </c>
      <c r="B1324">
        <v>2846.3572235853999</v>
      </c>
      <c r="C1324">
        <v>69463.09</v>
      </c>
      <c r="D1324">
        <v>1.07834287838936</v>
      </c>
      <c r="E1324">
        <v>166</v>
      </c>
      <c r="F1324" t="s">
        <v>134</v>
      </c>
    </row>
    <row r="1325" spans="1:6" x14ac:dyDescent="0.2">
      <c r="A1325" t="s">
        <v>11</v>
      </c>
      <c r="B1325">
        <v>3191.4280141520198</v>
      </c>
      <c r="C1325">
        <v>194914.65</v>
      </c>
      <c r="D1325">
        <v>5.2800288613319397</v>
      </c>
      <c r="E1325">
        <v>166</v>
      </c>
      <c r="F1325" t="s">
        <v>134</v>
      </c>
    </row>
    <row r="1326" spans="1:6" x14ac:dyDescent="0.2">
      <c r="A1326" t="s">
        <v>9</v>
      </c>
      <c r="B1326">
        <v>3497.43273813427</v>
      </c>
      <c r="C1326">
        <v>41827.49</v>
      </c>
      <c r="D1326">
        <v>3.2105945861021699</v>
      </c>
      <c r="E1326">
        <v>166</v>
      </c>
      <c r="F1326" t="s">
        <v>134</v>
      </c>
    </row>
    <row r="1327" spans="1:6" x14ac:dyDescent="0.2">
      <c r="A1327" t="s">
        <v>8</v>
      </c>
      <c r="B1327">
        <v>3826.51152146511</v>
      </c>
      <c r="C1327">
        <v>96911.03</v>
      </c>
      <c r="D1327">
        <v>6.83945900357564</v>
      </c>
      <c r="E1327">
        <v>166</v>
      </c>
      <c r="F1327" t="s">
        <v>134</v>
      </c>
    </row>
    <row r="1328" spans="1:6" x14ac:dyDescent="0.2">
      <c r="A1328" t="s">
        <v>6</v>
      </c>
      <c r="B1328">
        <v>4131.5282741546598</v>
      </c>
      <c r="C1328">
        <v>35015.980000000003</v>
      </c>
      <c r="D1328">
        <v>4.9817599689642602</v>
      </c>
      <c r="E1328">
        <v>166</v>
      </c>
      <c r="F1328" t="s">
        <v>134</v>
      </c>
    </row>
    <row r="1329" spans="1:6" x14ac:dyDescent="0.2">
      <c r="A1329" t="s">
        <v>10</v>
      </c>
      <c r="B1329">
        <v>4476.5794455994001</v>
      </c>
      <c r="C1329">
        <v>107307.96</v>
      </c>
      <c r="D1329">
        <v>5.5782960291385599</v>
      </c>
      <c r="E1329">
        <v>166</v>
      </c>
      <c r="F1329" t="s">
        <v>134</v>
      </c>
    </row>
    <row r="1330" spans="1:6" x14ac:dyDescent="0.2">
      <c r="A1330" t="s">
        <v>11</v>
      </c>
      <c r="B1330">
        <v>3135.4046898291399</v>
      </c>
      <c r="C1330">
        <v>194664.19</v>
      </c>
      <c r="D1330">
        <v>1.7695237950166101</v>
      </c>
      <c r="E1330">
        <v>167</v>
      </c>
      <c r="F1330" t="s">
        <v>135</v>
      </c>
    </row>
    <row r="1331" spans="1:6" x14ac:dyDescent="0.2">
      <c r="A1331" t="s">
        <v>8</v>
      </c>
      <c r="B1331">
        <v>3464.4443910046798</v>
      </c>
      <c r="C1331">
        <v>69133.539999999994</v>
      </c>
      <c r="D1331">
        <v>3.6307195281664502</v>
      </c>
      <c r="E1331">
        <v>167</v>
      </c>
      <c r="F1331" t="s">
        <v>135</v>
      </c>
    </row>
    <row r="1332" spans="1:6" x14ac:dyDescent="0.2">
      <c r="A1332" t="s">
        <v>10</v>
      </c>
      <c r="B1332">
        <v>3809.4801868775799</v>
      </c>
      <c r="C1332">
        <v>39602.61</v>
      </c>
      <c r="D1332">
        <v>4.32201112863223</v>
      </c>
      <c r="E1332">
        <v>167</v>
      </c>
      <c r="F1332" t="s">
        <v>135</v>
      </c>
    </row>
    <row r="1333" spans="1:6" x14ac:dyDescent="0.2">
      <c r="A1333" t="s">
        <v>8</v>
      </c>
      <c r="B1333">
        <v>4138.5118112836899</v>
      </c>
      <c r="C1333">
        <v>42161.39</v>
      </c>
      <c r="D1333">
        <v>5.3975297287782</v>
      </c>
      <c r="E1333">
        <v>167</v>
      </c>
      <c r="F1333" t="s">
        <v>135</v>
      </c>
    </row>
    <row r="1334" spans="1:6" x14ac:dyDescent="0.2">
      <c r="A1334" t="s">
        <v>6</v>
      </c>
      <c r="B1334">
        <v>4443.5451633688899</v>
      </c>
      <c r="C1334">
        <v>59041.42</v>
      </c>
      <c r="D1334">
        <v>5.8811136698405004</v>
      </c>
      <c r="E1334">
        <v>167</v>
      </c>
      <c r="F1334" t="s">
        <v>135</v>
      </c>
    </row>
    <row r="1335" spans="1:6" x14ac:dyDescent="0.2">
      <c r="A1335" t="s">
        <v>8</v>
      </c>
      <c r="B1335">
        <v>1963.2729155596301</v>
      </c>
      <c r="C1335">
        <v>144482.84</v>
      </c>
      <c r="D1335">
        <v>1.0512361283779099</v>
      </c>
      <c r="E1335">
        <v>169</v>
      </c>
      <c r="F1335" t="s">
        <v>136</v>
      </c>
    </row>
    <row r="1336" spans="1:6" x14ac:dyDescent="0.2">
      <c r="A1336" t="s">
        <v>6</v>
      </c>
      <c r="B1336">
        <v>2292.33395076748</v>
      </c>
      <c r="C1336">
        <v>10135.82</v>
      </c>
      <c r="D1336">
        <v>1.4397416527748099</v>
      </c>
      <c r="E1336">
        <v>169</v>
      </c>
      <c r="F1336" t="s">
        <v>136</v>
      </c>
    </row>
    <row r="1337" spans="1:6" x14ac:dyDescent="0.2">
      <c r="A1337" t="s">
        <v>9</v>
      </c>
      <c r="B1337">
        <v>2597.3561229875299</v>
      </c>
      <c r="C1337">
        <v>25257</v>
      </c>
      <c r="D1337">
        <v>3.6623427943070701</v>
      </c>
      <c r="E1337">
        <v>169</v>
      </c>
      <c r="F1337" t="s">
        <v>136</v>
      </c>
    </row>
    <row r="1338" spans="1:6" x14ac:dyDescent="0.2">
      <c r="A1338" t="s">
        <v>11</v>
      </c>
      <c r="B1338">
        <v>2903.3823094614199</v>
      </c>
      <c r="C1338">
        <v>193061.95</v>
      </c>
      <c r="D1338">
        <v>3.5990953103383401</v>
      </c>
      <c r="E1338">
        <v>169</v>
      </c>
      <c r="F1338" t="s">
        <v>136</v>
      </c>
    </row>
    <row r="1339" spans="1:6" x14ac:dyDescent="0.2">
      <c r="A1339" t="s">
        <v>9</v>
      </c>
      <c r="B1339">
        <v>3209.41187045066</v>
      </c>
      <c r="C1339">
        <v>170359.87</v>
      </c>
      <c r="D1339">
        <v>4.5931445117473597</v>
      </c>
      <c r="E1339">
        <v>169</v>
      </c>
      <c r="F1339" t="s">
        <v>136</v>
      </c>
    </row>
    <row r="1340" spans="1:6" x14ac:dyDescent="0.2">
      <c r="A1340" t="s">
        <v>9</v>
      </c>
      <c r="B1340">
        <v>3515.4575529604599</v>
      </c>
      <c r="C1340">
        <v>61986.49</v>
      </c>
      <c r="D1340">
        <v>5.3975297287782</v>
      </c>
      <c r="E1340">
        <v>169</v>
      </c>
      <c r="F1340" t="s">
        <v>136</v>
      </c>
    </row>
    <row r="1341" spans="1:6" x14ac:dyDescent="0.2">
      <c r="A1341" t="s">
        <v>9</v>
      </c>
      <c r="B1341">
        <v>7509.0090386522397</v>
      </c>
      <c r="C1341">
        <v>35614.519999999997</v>
      </c>
      <c r="D1341">
        <v>10.050083895095201</v>
      </c>
      <c r="E1341">
        <v>170</v>
      </c>
      <c r="F1341" t="s">
        <v>137</v>
      </c>
    </row>
    <row r="1342" spans="1:6" x14ac:dyDescent="0.2">
      <c r="A1342" t="s">
        <v>11</v>
      </c>
      <c r="B1342">
        <v>7815.0637657256202</v>
      </c>
      <c r="C1342">
        <v>192392.54</v>
      </c>
      <c r="D1342">
        <v>10.3221977448146</v>
      </c>
      <c r="E1342">
        <v>170</v>
      </c>
      <c r="F1342" t="s">
        <v>137</v>
      </c>
    </row>
    <row r="1343" spans="1:6" x14ac:dyDescent="0.2">
      <c r="A1343" t="s">
        <v>8</v>
      </c>
      <c r="B1343">
        <v>8144.1329318273201</v>
      </c>
      <c r="C1343">
        <v>67240.350000000006</v>
      </c>
      <c r="D1343">
        <v>10.6487744962851</v>
      </c>
      <c r="E1343">
        <v>170</v>
      </c>
      <c r="F1343" t="s">
        <v>137</v>
      </c>
    </row>
    <row r="1344" spans="1:6" x14ac:dyDescent="0.2">
      <c r="A1344" t="s">
        <v>6</v>
      </c>
      <c r="B1344">
        <v>8449.1339242238591</v>
      </c>
      <c r="C1344">
        <v>62005.94</v>
      </c>
      <c r="D1344">
        <v>10.766735636758799</v>
      </c>
      <c r="E1344">
        <v>170</v>
      </c>
      <c r="F1344" t="s">
        <v>137</v>
      </c>
    </row>
    <row r="1345" spans="1:6" x14ac:dyDescent="0.2">
      <c r="A1345" t="s">
        <v>6</v>
      </c>
      <c r="B1345">
        <v>8754.1690781826892</v>
      </c>
      <c r="C1345">
        <v>43572.24</v>
      </c>
      <c r="D1345">
        <v>10.7395170028687</v>
      </c>
      <c r="E1345">
        <v>170</v>
      </c>
      <c r="F1345" t="s">
        <v>137</v>
      </c>
    </row>
    <row r="1346" spans="1:6" x14ac:dyDescent="0.2">
      <c r="A1346" t="s">
        <v>11</v>
      </c>
      <c r="B1346">
        <v>2915.3899435079502</v>
      </c>
      <c r="C1346">
        <v>191109.06</v>
      </c>
      <c r="D1346">
        <v>1.7107927099545801</v>
      </c>
      <c r="E1346">
        <v>171</v>
      </c>
      <c r="F1346" t="s">
        <v>138</v>
      </c>
    </row>
    <row r="1347" spans="1:6" x14ac:dyDescent="0.2">
      <c r="A1347" t="s">
        <v>10</v>
      </c>
      <c r="B1347">
        <v>3260.4337634570002</v>
      </c>
      <c r="C1347">
        <v>85762.27</v>
      </c>
      <c r="D1347">
        <v>2.93955408689181</v>
      </c>
      <c r="E1347">
        <v>171</v>
      </c>
      <c r="F1347" t="s">
        <v>138</v>
      </c>
    </row>
    <row r="1348" spans="1:6" x14ac:dyDescent="0.2">
      <c r="A1348" t="s">
        <v>10</v>
      </c>
      <c r="B1348">
        <v>3605.4875365856001</v>
      </c>
      <c r="C1348">
        <v>19262.8</v>
      </c>
      <c r="D1348">
        <v>4.0509121612389896</v>
      </c>
      <c r="E1348">
        <v>171</v>
      </c>
      <c r="F1348" t="s">
        <v>138</v>
      </c>
    </row>
    <row r="1349" spans="1:6" x14ac:dyDescent="0.2">
      <c r="A1349" t="s">
        <v>8</v>
      </c>
      <c r="B1349">
        <v>3934.52937200731</v>
      </c>
      <c r="C1349">
        <v>79759.820000000007</v>
      </c>
      <c r="D1349">
        <v>5.2800288613319397</v>
      </c>
      <c r="E1349">
        <v>171</v>
      </c>
      <c r="F1349" t="s">
        <v>138</v>
      </c>
    </row>
    <row r="1350" spans="1:6" x14ac:dyDescent="0.2">
      <c r="A1350" t="s">
        <v>8</v>
      </c>
      <c r="B1350">
        <v>4263.5870445949004</v>
      </c>
      <c r="C1350">
        <v>56615.22</v>
      </c>
      <c r="D1350">
        <v>6.2382045622348796</v>
      </c>
      <c r="E1350">
        <v>171</v>
      </c>
      <c r="F1350" t="s">
        <v>138</v>
      </c>
    </row>
    <row r="1351" spans="1:6" x14ac:dyDescent="0.2">
      <c r="A1351" t="s">
        <v>9</v>
      </c>
      <c r="B1351">
        <v>4569.6172672337698</v>
      </c>
      <c r="C1351">
        <v>178984.94</v>
      </c>
      <c r="D1351">
        <v>6.78068572041194</v>
      </c>
      <c r="E1351">
        <v>171</v>
      </c>
      <c r="F1351" t="s">
        <v>138</v>
      </c>
    </row>
    <row r="1352" spans="1:6" x14ac:dyDescent="0.2">
      <c r="A1352" t="s">
        <v>8</v>
      </c>
      <c r="B1352">
        <v>4898.6642767196199</v>
      </c>
      <c r="C1352">
        <v>128091.36</v>
      </c>
      <c r="D1352">
        <v>7.3776465530872297</v>
      </c>
      <c r="E1352">
        <v>171</v>
      </c>
      <c r="F1352" t="s">
        <v>138</v>
      </c>
    </row>
    <row r="1353" spans="1:6" x14ac:dyDescent="0.2">
      <c r="A1353" t="s">
        <v>8</v>
      </c>
      <c r="B1353">
        <v>4365.5456724748701</v>
      </c>
      <c r="C1353">
        <v>94893.1</v>
      </c>
      <c r="D1353">
        <v>6.1477922931988997</v>
      </c>
      <c r="E1353">
        <v>172</v>
      </c>
      <c r="F1353" t="s">
        <v>139</v>
      </c>
    </row>
    <row r="1354" spans="1:6" x14ac:dyDescent="0.2">
      <c r="A1354" t="s">
        <v>11</v>
      </c>
      <c r="B1354">
        <v>4694.6034944169996</v>
      </c>
      <c r="C1354">
        <v>190691.53</v>
      </c>
      <c r="D1354">
        <v>7.1424336369514503</v>
      </c>
      <c r="E1354">
        <v>172</v>
      </c>
      <c r="F1354" t="s">
        <v>139</v>
      </c>
    </row>
    <row r="1355" spans="1:6" x14ac:dyDescent="0.2">
      <c r="A1355" t="s">
        <v>9</v>
      </c>
      <c r="B1355">
        <v>5000.6358613744296</v>
      </c>
      <c r="C1355">
        <v>148039.37</v>
      </c>
      <c r="D1355">
        <v>7.3504987692515096</v>
      </c>
      <c r="E1355">
        <v>172</v>
      </c>
      <c r="F1355" t="s">
        <v>139</v>
      </c>
    </row>
    <row r="1356" spans="1:6" x14ac:dyDescent="0.2">
      <c r="A1356" t="s">
        <v>6</v>
      </c>
      <c r="B1356">
        <v>5305.6813742824997</v>
      </c>
      <c r="C1356">
        <v>66398.259999999995</v>
      </c>
      <c r="D1356">
        <v>7.6807436362584403</v>
      </c>
      <c r="E1356">
        <v>172</v>
      </c>
      <c r="F1356" t="s">
        <v>139</v>
      </c>
    </row>
    <row r="1357" spans="1:6" x14ac:dyDescent="0.2">
      <c r="A1357" t="s">
        <v>6</v>
      </c>
      <c r="B1357">
        <v>5610.7329812160297</v>
      </c>
      <c r="C1357">
        <v>55589.2</v>
      </c>
      <c r="D1357">
        <v>7.8888968026320097</v>
      </c>
      <c r="E1357">
        <v>172</v>
      </c>
      <c r="F1357" t="s">
        <v>139</v>
      </c>
    </row>
    <row r="1358" spans="1:6" x14ac:dyDescent="0.2">
      <c r="A1358" t="s">
        <v>10</v>
      </c>
      <c r="B1358">
        <v>5955.7656467607703</v>
      </c>
      <c r="C1358">
        <v>119798.83</v>
      </c>
      <c r="D1358">
        <v>8.2193639949639596</v>
      </c>
      <c r="E1358">
        <v>172</v>
      </c>
      <c r="F1358" t="s">
        <v>139</v>
      </c>
    </row>
    <row r="1359" spans="1:6" x14ac:dyDescent="0.2">
      <c r="A1359" t="s">
        <v>6</v>
      </c>
      <c r="B1359">
        <v>6260.8209520236596</v>
      </c>
      <c r="C1359">
        <v>68357.72</v>
      </c>
      <c r="D1359">
        <v>8.4276596522013296</v>
      </c>
      <c r="E1359">
        <v>172</v>
      </c>
      <c r="F1359" t="s">
        <v>139</v>
      </c>
    </row>
    <row r="1360" spans="1:6" x14ac:dyDescent="0.2">
      <c r="A1360" t="s">
        <v>6</v>
      </c>
      <c r="B1360">
        <v>6565.8567391015704</v>
      </c>
      <c r="C1360">
        <v>17983.419999999998</v>
      </c>
      <c r="D1360">
        <v>8.6087896442095406</v>
      </c>
      <c r="E1360">
        <v>172</v>
      </c>
      <c r="F1360" t="s">
        <v>139</v>
      </c>
    </row>
    <row r="1361" spans="1:6" x14ac:dyDescent="0.2">
      <c r="A1361" t="s">
        <v>9</v>
      </c>
      <c r="B1361">
        <v>2320.3108472037302</v>
      </c>
      <c r="C1361">
        <v>40574.21</v>
      </c>
      <c r="D1361">
        <v>0.87054953532218904</v>
      </c>
      <c r="E1361">
        <v>173</v>
      </c>
      <c r="F1361" t="s">
        <v>140</v>
      </c>
    </row>
    <row r="1362" spans="1:6" x14ac:dyDescent="0.2">
      <c r="A1362" t="s">
        <v>8</v>
      </c>
      <c r="B1362">
        <v>2626.3393142237401</v>
      </c>
      <c r="C1362">
        <v>159799.04999999999</v>
      </c>
      <c r="D1362">
        <v>1.0512361283779099</v>
      </c>
      <c r="E1362">
        <v>173</v>
      </c>
      <c r="F1362" t="s">
        <v>140</v>
      </c>
    </row>
    <row r="1363" spans="1:6" x14ac:dyDescent="0.2">
      <c r="A1363" t="s">
        <v>11</v>
      </c>
      <c r="B1363">
        <v>2955.39364696757</v>
      </c>
      <c r="C1363">
        <v>189485.34</v>
      </c>
      <c r="D1363">
        <v>2.1896585698604598</v>
      </c>
      <c r="E1363">
        <v>173</v>
      </c>
      <c r="F1363" t="s">
        <v>140</v>
      </c>
    </row>
    <row r="1364" spans="1:6" x14ac:dyDescent="0.2">
      <c r="A1364" t="s">
        <v>8</v>
      </c>
      <c r="B1364">
        <v>3284.4501357148602</v>
      </c>
      <c r="C1364">
        <v>181724.5</v>
      </c>
      <c r="D1364">
        <v>3.8972981528123198</v>
      </c>
      <c r="E1364">
        <v>173</v>
      </c>
      <c r="F1364" t="s">
        <v>140</v>
      </c>
    </row>
    <row r="1365" spans="1:6" x14ac:dyDescent="0.2">
      <c r="A1365" t="s">
        <v>10</v>
      </c>
      <c r="B1365">
        <v>3629.5019394518099</v>
      </c>
      <c r="C1365">
        <v>71549.649999999994</v>
      </c>
      <c r="D1365">
        <v>4.8010087624867799</v>
      </c>
      <c r="E1365">
        <v>173</v>
      </c>
      <c r="F1365" t="s">
        <v>140</v>
      </c>
    </row>
    <row r="1366" spans="1:6" x14ac:dyDescent="0.2">
      <c r="A1366" t="s">
        <v>8</v>
      </c>
      <c r="B1366">
        <v>3958.5528322519499</v>
      </c>
      <c r="C1366">
        <v>108976.45</v>
      </c>
      <c r="D1366">
        <v>5.7319597537994396</v>
      </c>
      <c r="E1366">
        <v>173</v>
      </c>
      <c r="F1366" t="s">
        <v>140</v>
      </c>
    </row>
    <row r="1367" spans="1:6" x14ac:dyDescent="0.2">
      <c r="A1367" t="s">
        <v>10</v>
      </c>
      <c r="B1367">
        <v>4303.6053106279596</v>
      </c>
      <c r="C1367">
        <v>3990.04</v>
      </c>
      <c r="D1367">
        <v>6.2382045622348796</v>
      </c>
      <c r="E1367">
        <v>173</v>
      </c>
      <c r="F1367" t="s">
        <v>140</v>
      </c>
    </row>
    <row r="1368" spans="1:6" x14ac:dyDescent="0.2">
      <c r="A1368" t="s">
        <v>8</v>
      </c>
      <c r="B1368">
        <v>4632.6218811810804</v>
      </c>
      <c r="C1368">
        <v>34698.160000000003</v>
      </c>
      <c r="D1368">
        <v>7.1695676362196599</v>
      </c>
      <c r="E1368">
        <v>173</v>
      </c>
      <c r="F1368" t="s">
        <v>140</v>
      </c>
    </row>
    <row r="1369" spans="1:6" x14ac:dyDescent="0.2">
      <c r="A1369" t="s">
        <v>6</v>
      </c>
      <c r="B1369">
        <v>4937.6807100142496</v>
      </c>
      <c r="C1369">
        <v>41556.5</v>
      </c>
      <c r="D1369">
        <v>7.4093134279727897</v>
      </c>
      <c r="E1369">
        <v>173</v>
      </c>
      <c r="F1369" t="s">
        <v>140</v>
      </c>
    </row>
    <row r="1370" spans="1:6" x14ac:dyDescent="0.2">
      <c r="A1370" t="s">
        <v>9</v>
      </c>
      <c r="B1370">
        <v>2177.2647873320798</v>
      </c>
      <c r="C1370">
        <v>117812.54</v>
      </c>
      <c r="D1370">
        <v>0.75310868577957202</v>
      </c>
      <c r="E1370">
        <v>174</v>
      </c>
      <c r="F1370" t="s">
        <v>141</v>
      </c>
    </row>
    <row r="1371" spans="1:6" x14ac:dyDescent="0.2">
      <c r="A1371" t="s">
        <v>8</v>
      </c>
      <c r="B1371">
        <v>2483.2943338964201</v>
      </c>
      <c r="C1371">
        <v>92776.13</v>
      </c>
      <c r="D1371">
        <v>0.87054953532218904</v>
      </c>
      <c r="E1371">
        <v>174</v>
      </c>
      <c r="F1371" t="s">
        <v>141</v>
      </c>
    </row>
    <row r="1372" spans="1:6" x14ac:dyDescent="0.2">
      <c r="A1372" t="s">
        <v>10</v>
      </c>
      <c r="B1372">
        <v>2812.3496704956401</v>
      </c>
      <c r="C1372">
        <v>150393.81</v>
      </c>
      <c r="D1372">
        <v>1.07834287838936</v>
      </c>
      <c r="E1372">
        <v>174</v>
      </c>
      <c r="F1372" t="s">
        <v>141</v>
      </c>
    </row>
    <row r="1373" spans="1:6" x14ac:dyDescent="0.2">
      <c r="A1373" t="s">
        <v>10</v>
      </c>
      <c r="B1373">
        <v>3157.3971017467902</v>
      </c>
      <c r="C1373">
        <v>163956.87</v>
      </c>
      <c r="D1373">
        <v>1.7107927099545801</v>
      </c>
      <c r="E1373">
        <v>174</v>
      </c>
      <c r="F1373" t="s">
        <v>141</v>
      </c>
    </row>
    <row r="1374" spans="1:6" x14ac:dyDescent="0.2">
      <c r="A1374" t="s">
        <v>8</v>
      </c>
      <c r="B1374">
        <v>3502.4438861627</v>
      </c>
      <c r="C1374">
        <v>35948.269999999997</v>
      </c>
      <c r="D1374">
        <v>3.0299002126534802</v>
      </c>
      <c r="E1374">
        <v>174</v>
      </c>
      <c r="F1374" t="s">
        <v>141</v>
      </c>
    </row>
    <row r="1375" spans="1:6" x14ac:dyDescent="0.2">
      <c r="A1375" t="s">
        <v>11</v>
      </c>
      <c r="B1375">
        <v>3831.4904906708698</v>
      </c>
      <c r="C1375">
        <v>189427.45</v>
      </c>
      <c r="D1375">
        <v>4.5569924191315998</v>
      </c>
      <c r="E1375">
        <v>174</v>
      </c>
      <c r="F1375" t="s">
        <v>141</v>
      </c>
    </row>
    <row r="1376" spans="1:6" x14ac:dyDescent="0.2">
      <c r="A1376" t="s">
        <v>8</v>
      </c>
      <c r="B1376">
        <v>4160.5452475106904</v>
      </c>
      <c r="C1376">
        <v>58983.38</v>
      </c>
      <c r="D1376">
        <v>5.5195398366133404</v>
      </c>
      <c r="E1376">
        <v>174</v>
      </c>
      <c r="F1376" t="s">
        <v>141</v>
      </c>
    </row>
    <row r="1377" spans="1:6" x14ac:dyDescent="0.2">
      <c r="A1377" t="s">
        <v>6</v>
      </c>
      <c r="B1377">
        <v>4465.5826527088302</v>
      </c>
      <c r="C1377">
        <v>19302.82</v>
      </c>
      <c r="D1377">
        <v>5.8494748866240203</v>
      </c>
      <c r="E1377">
        <v>174</v>
      </c>
      <c r="F1377" t="s">
        <v>141</v>
      </c>
    </row>
    <row r="1378" spans="1:6" x14ac:dyDescent="0.2">
      <c r="A1378" t="s">
        <v>9</v>
      </c>
      <c r="B1378">
        <v>4771.6107922484698</v>
      </c>
      <c r="C1378">
        <v>83460.22</v>
      </c>
      <c r="D1378">
        <v>6.4506761785030404</v>
      </c>
      <c r="E1378">
        <v>174</v>
      </c>
      <c r="F1378" t="s">
        <v>141</v>
      </c>
    </row>
    <row r="1379" spans="1:6" x14ac:dyDescent="0.2">
      <c r="A1379" t="s">
        <v>9</v>
      </c>
      <c r="B1379">
        <v>5077.64055808185</v>
      </c>
      <c r="C1379">
        <v>92534.21</v>
      </c>
      <c r="D1379">
        <v>6.96154171980222</v>
      </c>
      <c r="E1379">
        <v>174</v>
      </c>
      <c r="F1379" t="s">
        <v>141</v>
      </c>
    </row>
    <row r="1380" spans="1:6" x14ac:dyDescent="0.2">
      <c r="A1380" t="s">
        <v>8</v>
      </c>
      <c r="B1380">
        <v>5406.6890001104703</v>
      </c>
      <c r="C1380">
        <v>61979.86</v>
      </c>
      <c r="D1380">
        <v>7.4997938370386796</v>
      </c>
      <c r="E1380">
        <v>174</v>
      </c>
      <c r="F1380" t="s">
        <v>141</v>
      </c>
    </row>
    <row r="1381" spans="1:6" x14ac:dyDescent="0.2">
      <c r="A1381" t="s">
        <v>9</v>
      </c>
      <c r="B1381">
        <v>5712.7078168827002</v>
      </c>
      <c r="C1381">
        <v>68129.81</v>
      </c>
      <c r="D1381">
        <v>7.8888968026320097</v>
      </c>
      <c r="E1381">
        <v>174</v>
      </c>
      <c r="F1381" t="s">
        <v>141</v>
      </c>
    </row>
    <row r="1382" spans="1:6" x14ac:dyDescent="0.2">
      <c r="A1382" t="s">
        <v>9</v>
      </c>
      <c r="B1382">
        <v>6018.7706222228499</v>
      </c>
      <c r="C1382">
        <v>35170.83</v>
      </c>
      <c r="D1382">
        <v>8.2827520942370096</v>
      </c>
      <c r="E1382">
        <v>174</v>
      </c>
      <c r="F1382" t="s">
        <v>141</v>
      </c>
    </row>
    <row r="1383" spans="1:6" x14ac:dyDescent="0.2">
      <c r="A1383" t="s">
        <v>8</v>
      </c>
      <c r="B1383">
        <v>6347.8190264742898</v>
      </c>
      <c r="C1383">
        <v>36174.410000000003</v>
      </c>
      <c r="D1383">
        <v>8.7899990613937398</v>
      </c>
      <c r="E1383">
        <v>174</v>
      </c>
      <c r="F1383" t="s">
        <v>141</v>
      </c>
    </row>
    <row r="1384" spans="1:6" x14ac:dyDescent="0.2">
      <c r="A1384" t="s">
        <v>9</v>
      </c>
      <c r="B1384">
        <v>6653.8676470769697</v>
      </c>
      <c r="C1384">
        <v>78105.179999999993</v>
      </c>
      <c r="D1384">
        <v>8.9984834865411099</v>
      </c>
      <c r="E1384">
        <v>174</v>
      </c>
      <c r="F1384" t="s">
        <v>141</v>
      </c>
    </row>
    <row r="1385" spans="1:6" x14ac:dyDescent="0.2">
      <c r="A1385" t="s">
        <v>9</v>
      </c>
      <c r="B1385">
        <v>4169.55393539539</v>
      </c>
      <c r="C1385">
        <v>68219.39</v>
      </c>
      <c r="D1385">
        <v>6.41902668631871</v>
      </c>
      <c r="E1385">
        <v>178</v>
      </c>
      <c r="F1385" t="s">
        <v>142</v>
      </c>
    </row>
    <row r="1386" spans="1:6" x14ac:dyDescent="0.2">
      <c r="A1386" t="s">
        <v>8</v>
      </c>
      <c r="B1386">
        <v>4475.58413641881</v>
      </c>
      <c r="C1386">
        <v>104070.67</v>
      </c>
      <c r="D1386">
        <v>7.1424336369514503</v>
      </c>
      <c r="E1386">
        <v>178</v>
      </c>
      <c r="F1386" t="s">
        <v>142</v>
      </c>
    </row>
    <row r="1387" spans="1:6" x14ac:dyDescent="0.2">
      <c r="A1387" t="s">
        <v>10</v>
      </c>
      <c r="B1387">
        <v>4804.6307459366099</v>
      </c>
      <c r="C1387">
        <v>67952.039999999994</v>
      </c>
      <c r="D1387">
        <v>7.7395614460786204</v>
      </c>
      <c r="E1387">
        <v>178</v>
      </c>
      <c r="F1387" t="s">
        <v>142</v>
      </c>
    </row>
    <row r="1388" spans="1:6" x14ac:dyDescent="0.2">
      <c r="A1388" t="s">
        <v>11</v>
      </c>
      <c r="B1388">
        <v>5149.6973658956604</v>
      </c>
      <c r="C1388">
        <v>185846.01</v>
      </c>
      <c r="D1388">
        <v>6.8982393697579703</v>
      </c>
      <c r="E1388">
        <v>178</v>
      </c>
      <c r="F1388" t="s">
        <v>142</v>
      </c>
    </row>
    <row r="1389" spans="1:6" x14ac:dyDescent="0.2">
      <c r="A1389" t="s">
        <v>9</v>
      </c>
      <c r="B1389">
        <v>1968.3188909201001</v>
      </c>
      <c r="C1389">
        <v>55651.360000000001</v>
      </c>
      <c r="D1389">
        <v>1.55720335400899</v>
      </c>
      <c r="E1389">
        <v>179</v>
      </c>
      <c r="F1389" t="s">
        <v>143</v>
      </c>
    </row>
    <row r="1390" spans="1:6" x14ac:dyDescent="0.2">
      <c r="A1390" t="s">
        <v>8</v>
      </c>
      <c r="B1390">
        <v>2274.3420309736098</v>
      </c>
      <c r="C1390">
        <v>177740.84</v>
      </c>
      <c r="D1390">
        <v>2.6414079622109701</v>
      </c>
      <c r="E1390">
        <v>179</v>
      </c>
      <c r="F1390" t="s">
        <v>143</v>
      </c>
    </row>
    <row r="1391" spans="1:6" x14ac:dyDescent="0.2">
      <c r="A1391" t="s">
        <v>11</v>
      </c>
      <c r="B1391">
        <v>2603.3960299844998</v>
      </c>
      <c r="C1391">
        <v>185067.39</v>
      </c>
      <c r="D1391">
        <v>4.2000071938514703</v>
      </c>
      <c r="E1391">
        <v>179</v>
      </c>
      <c r="F1391" t="s">
        <v>143</v>
      </c>
    </row>
    <row r="1392" spans="1:6" x14ac:dyDescent="0.2">
      <c r="A1392" t="s">
        <v>10</v>
      </c>
      <c r="B1392">
        <v>2948.4391890817801</v>
      </c>
      <c r="C1392">
        <v>100395.77</v>
      </c>
      <c r="D1392">
        <v>4.5931445117473597</v>
      </c>
      <c r="E1392">
        <v>179</v>
      </c>
      <c r="F1392" t="s">
        <v>143</v>
      </c>
    </row>
    <row r="1393" spans="1:6" x14ac:dyDescent="0.2">
      <c r="A1393" t="s">
        <v>9</v>
      </c>
      <c r="B1393">
        <v>3254.4364523511299</v>
      </c>
      <c r="C1393">
        <v>176669.16</v>
      </c>
      <c r="D1393">
        <v>2.6097861702918999</v>
      </c>
      <c r="E1393">
        <v>179</v>
      </c>
      <c r="F1393" t="s">
        <v>143</v>
      </c>
    </row>
    <row r="1394" spans="1:6" x14ac:dyDescent="0.2">
      <c r="A1394" t="s">
        <v>10</v>
      </c>
      <c r="B1394">
        <v>3599.4813643173502</v>
      </c>
      <c r="C1394">
        <v>65646.98</v>
      </c>
      <c r="D1394">
        <v>3.8069280381679498</v>
      </c>
      <c r="E1394">
        <v>179</v>
      </c>
      <c r="F1394" t="s">
        <v>143</v>
      </c>
    </row>
    <row r="1395" spans="1:6" x14ac:dyDescent="0.2">
      <c r="A1395" t="s">
        <v>9</v>
      </c>
      <c r="B1395">
        <v>3905.5180500327401</v>
      </c>
      <c r="C1395">
        <v>130021.35</v>
      </c>
      <c r="D1395">
        <v>4.6473744447708096</v>
      </c>
      <c r="E1395">
        <v>179</v>
      </c>
      <c r="F1395" t="s">
        <v>143</v>
      </c>
    </row>
    <row r="1396" spans="1:6" x14ac:dyDescent="0.2">
      <c r="A1396" t="s">
        <v>9</v>
      </c>
      <c r="B1396">
        <v>4211.5522198075696</v>
      </c>
      <c r="C1396">
        <v>68800.460000000006</v>
      </c>
      <c r="D1396">
        <v>5.3975297287782</v>
      </c>
      <c r="E1396">
        <v>179</v>
      </c>
      <c r="F1396" t="s">
        <v>143</v>
      </c>
    </row>
    <row r="1397" spans="1:6" x14ac:dyDescent="0.2">
      <c r="A1397" t="s">
        <v>8</v>
      </c>
      <c r="B1397">
        <v>3189.43000486152</v>
      </c>
      <c r="C1397">
        <v>155689.09</v>
      </c>
      <c r="D1397">
        <v>4.1412692184925097</v>
      </c>
      <c r="E1397">
        <v>180</v>
      </c>
      <c r="F1397" t="s">
        <v>144</v>
      </c>
    </row>
    <row r="1398" spans="1:6" x14ac:dyDescent="0.2">
      <c r="A1398" t="s">
        <v>8</v>
      </c>
      <c r="B1398">
        <v>3518.4711787371202</v>
      </c>
      <c r="C1398">
        <v>143065.43</v>
      </c>
      <c r="D1398">
        <v>5.2800288613319397</v>
      </c>
      <c r="E1398">
        <v>180</v>
      </c>
      <c r="F1398" t="s">
        <v>144</v>
      </c>
    </row>
    <row r="1399" spans="1:6" x14ac:dyDescent="0.2">
      <c r="A1399" t="s">
        <v>10</v>
      </c>
      <c r="B1399">
        <v>3847.5239559888801</v>
      </c>
      <c r="C1399">
        <v>79511.039999999994</v>
      </c>
      <c r="D1399">
        <v>6.4823198870499903</v>
      </c>
      <c r="E1399">
        <v>180</v>
      </c>
      <c r="F1399" t="s">
        <v>144</v>
      </c>
    </row>
    <row r="1400" spans="1:6" x14ac:dyDescent="0.2">
      <c r="A1400" t="s">
        <v>10</v>
      </c>
      <c r="B1400">
        <v>4192.5650017005401</v>
      </c>
      <c r="C1400">
        <v>63185.74</v>
      </c>
      <c r="D1400">
        <v>6.7490409270604497</v>
      </c>
      <c r="E1400">
        <v>180</v>
      </c>
      <c r="F1400" t="s">
        <v>144</v>
      </c>
    </row>
    <row r="1401" spans="1:6" x14ac:dyDescent="0.2">
      <c r="A1401" t="s">
        <v>11</v>
      </c>
      <c r="B1401">
        <v>4537.6233173667297</v>
      </c>
      <c r="C1401">
        <v>183694.12</v>
      </c>
      <c r="D1401">
        <v>7.2600274618148797</v>
      </c>
      <c r="E1401">
        <v>180</v>
      </c>
      <c r="F1401" t="s">
        <v>144</v>
      </c>
    </row>
    <row r="1402" spans="1:6" x14ac:dyDescent="0.2">
      <c r="A1402" t="s">
        <v>6</v>
      </c>
      <c r="B1402">
        <v>4842.6468203722297</v>
      </c>
      <c r="C1402">
        <v>51234.41</v>
      </c>
      <c r="D1402">
        <v>7.4681177532355001</v>
      </c>
      <c r="E1402">
        <v>180</v>
      </c>
      <c r="F1402" t="s">
        <v>144</v>
      </c>
    </row>
    <row r="1403" spans="1:6" x14ac:dyDescent="0.2">
      <c r="A1403" t="s">
        <v>11</v>
      </c>
      <c r="B1403">
        <v>9021.1918260223301</v>
      </c>
      <c r="C1403">
        <v>182557.56</v>
      </c>
      <c r="D1403">
        <v>11.0117443616867</v>
      </c>
      <c r="E1403">
        <v>181</v>
      </c>
      <c r="F1403" t="s">
        <v>145</v>
      </c>
    </row>
    <row r="1404" spans="1:6" x14ac:dyDescent="0.2">
      <c r="A1404" t="s">
        <v>6</v>
      </c>
      <c r="B1404">
        <v>9326.2095693820593</v>
      </c>
      <c r="C1404">
        <v>143534.29999999999</v>
      </c>
      <c r="D1404">
        <v>11.1569425598462</v>
      </c>
      <c r="E1404">
        <v>181</v>
      </c>
      <c r="F1404" t="s">
        <v>145</v>
      </c>
    </row>
    <row r="1405" spans="1:6" x14ac:dyDescent="0.2">
      <c r="A1405" t="s">
        <v>10</v>
      </c>
      <c r="B1405">
        <v>9671.2667849090103</v>
      </c>
      <c r="C1405">
        <v>97387.72</v>
      </c>
      <c r="D1405">
        <v>11.247654928334599</v>
      </c>
      <c r="E1405">
        <v>181</v>
      </c>
      <c r="F1405" t="s">
        <v>145</v>
      </c>
    </row>
    <row r="1406" spans="1:6" x14ac:dyDescent="0.2">
      <c r="A1406" t="s">
        <v>8</v>
      </c>
      <c r="B1406">
        <v>10000.317601525499</v>
      </c>
      <c r="C1406">
        <v>63784.88</v>
      </c>
      <c r="D1406">
        <v>11.492626493740101</v>
      </c>
      <c r="E1406">
        <v>181</v>
      </c>
      <c r="F1406" t="s">
        <v>145</v>
      </c>
    </row>
    <row r="1407" spans="1:6" x14ac:dyDescent="0.2">
      <c r="A1407" t="s">
        <v>6</v>
      </c>
      <c r="B1407">
        <v>10305.324072564799</v>
      </c>
      <c r="C1407">
        <v>94994.7</v>
      </c>
      <c r="D1407">
        <v>11.547098644145301</v>
      </c>
      <c r="E1407">
        <v>181</v>
      </c>
      <c r="F1407" t="s">
        <v>145</v>
      </c>
    </row>
    <row r="1408" spans="1:6" x14ac:dyDescent="0.2">
      <c r="A1408" t="s">
        <v>9</v>
      </c>
      <c r="B1408">
        <v>2659.3593066000399</v>
      </c>
      <c r="C1408">
        <v>71976.039999999994</v>
      </c>
      <c r="D1408">
        <v>0.98799588637351998</v>
      </c>
      <c r="E1408">
        <v>182</v>
      </c>
      <c r="F1408" t="s">
        <v>146</v>
      </c>
    </row>
    <row r="1409" spans="1:6" x14ac:dyDescent="0.2">
      <c r="A1409" t="s">
        <v>9</v>
      </c>
      <c r="B1409">
        <v>2965.38918692177</v>
      </c>
      <c r="C1409">
        <v>172862.44</v>
      </c>
      <c r="D1409">
        <v>1.34938816981316</v>
      </c>
      <c r="E1409">
        <v>182</v>
      </c>
      <c r="F1409" t="s">
        <v>146</v>
      </c>
    </row>
    <row r="1410" spans="1:6" x14ac:dyDescent="0.2">
      <c r="A1410" t="s">
        <v>9</v>
      </c>
      <c r="B1410">
        <v>3271.41452846432</v>
      </c>
      <c r="C1410">
        <v>167634.46</v>
      </c>
      <c r="D1410">
        <v>2.0722048119386001</v>
      </c>
      <c r="E1410">
        <v>182</v>
      </c>
      <c r="F1410" t="s">
        <v>146</v>
      </c>
    </row>
    <row r="1411" spans="1:6" x14ac:dyDescent="0.2">
      <c r="A1411" t="s">
        <v>6</v>
      </c>
      <c r="B1411">
        <v>3577.4447077510899</v>
      </c>
      <c r="C1411">
        <v>74608.58</v>
      </c>
      <c r="D1411">
        <v>3.3912873859882402</v>
      </c>
      <c r="E1411">
        <v>182</v>
      </c>
      <c r="F1411" t="s">
        <v>146</v>
      </c>
    </row>
    <row r="1412" spans="1:6" x14ac:dyDescent="0.2">
      <c r="A1412" t="s">
        <v>6</v>
      </c>
      <c r="B1412">
        <v>3882.4890232000298</v>
      </c>
      <c r="C1412">
        <v>24649.360000000001</v>
      </c>
      <c r="D1412">
        <v>4.2587451930522899</v>
      </c>
      <c r="E1412">
        <v>182</v>
      </c>
      <c r="F1412" t="s">
        <v>146</v>
      </c>
    </row>
    <row r="1413" spans="1:6" x14ac:dyDescent="0.2">
      <c r="A1413" t="s">
        <v>6</v>
      </c>
      <c r="B1413">
        <v>4187.5250514093996</v>
      </c>
      <c r="C1413">
        <v>71264.149999999994</v>
      </c>
      <c r="D1413">
        <v>4.9817599689642602</v>
      </c>
      <c r="E1413">
        <v>182</v>
      </c>
      <c r="F1413" t="s">
        <v>146</v>
      </c>
    </row>
    <row r="1414" spans="1:6" x14ac:dyDescent="0.2">
      <c r="A1414" t="s">
        <v>9</v>
      </c>
      <c r="B1414">
        <v>4492.5591768649101</v>
      </c>
      <c r="C1414">
        <v>74348.45</v>
      </c>
      <c r="D1414">
        <v>5.33877888676325</v>
      </c>
      <c r="E1414">
        <v>182</v>
      </c>
      <c r="F1414" t="s">
        <v>146</v>
      </c>
    </row>
    <row r="1415" spans="1:6" x14ac:dyDescent="0.2">
      <c r="A1415" t="s">
        <v>9</v>
      </c>
      <c r="B1415">
        <v>4798.5937204869897</v>
      </c>
      <c r="C1415">
        <v>27416.81</v>
      </c>
      <c r="D1415">
        <v>5.9398688292185504</v>
      </c>
      <c r="E1415">
        <v>182</v>
      </c>
      <c r="F1415" t="s">
        <v>146</v>
      </c>
    </row>
    <row r="1416" spans="1:6" x14ac:dyDescent="0.2">
      <c r="A1416" t="s">
        <v>8</v>
      </c>
      <c r="B1416">
        <v>5104.6175407307601</v>
      </c>
      <c r="C1416">
        <v>29378.29</v>
      </c>
      <c r="D1416">
        <v>6.4506761785030404</v>
      </c>
      <c r="E1416">
        <v>182</v>
      </c>
      <c r="F1416" t="s">
        <v>146</v>
      </c>
    </row>
    <row r="1417" spans="1:6" x14ac:dyDescent="0.2">
      <c r="A1417" t="s">
        <v>11</v>
      </c>
      <c r="B1417">
        <v>5433.6729012795104</v>
      </c>
      <c r="C1417">
        <v>180353.81</v>
      </c>
      <c r="D1417">
        <v>7.0519884542306297</v>
      </c>
      <c r="E1417">
        <v>182</v>
      </c>
      <c r="F1417" t="s">
        <v>146</v>
      </c>
    </row>
    <row r="1418" spans="1:6" x14ac:dyDescent="0.2">
      <c r="A1418" t="s">
        <v>9</v>
      </c>
      <c r="B1418">
        <v>5739.7478003046699</v>
      </c>
      <c r="C1418">
        <v>175676.34</v>
      </c>
      <c r="D1418">
        <v>8.9984834865411099</v>
      </c>
      <c r="E1418">
        <v>182</v>
      </c>
      <c r="F1418" t="s">
        <v>146</v>
      </c>
    </row>
    <row r="1419" spans="1:6" x14ac:dyDescent="0.2">
      <c r="A1419" t="s">
        <v>10</v>
      </c>
      <c r="B1419">
        <v>6084.7480868478897</v>
      </c>
      <c r="C1419">
        <v>7449.98</v>
      </c>
      <c r="D1419">
        <v>7.8300619359493204</v>
      </c>
      <c r="E1419">
        <v>182</v>
      </c>
      <c r="F1419" t="s">
        <v>146</v>
      </c>
    </row>
    <row r="1420" spans="1:6" x14ac:dyDescent="0.2">
      <c r="A1420" t="s">
        <v>11</v>
      </c>
      <c r="B1420">
        <v>3137.3748318790899</v>
      </c>
      <c r="C1420">
        <v>179711.34</v>
      </c>
      <c r="D1420">
        <v>2.2800053115367902</v>
      </c>
      <c r="E1420">
        <v>183</v>
      </c>
      <c r="F1420" t="s">
        <v>147</v>
      </c>
    </row>
    <row r="1421" spans="1:6" x14ac:dyDescent="0.2">
      <c r="A1421" t="s">
        <v>6</v>
      </c>
      <c r="B1421">
        <v>3442.4095397295901</v>
      </c>
      <c r="C1421">
        <v>165944.34</v>
      </c>
      <c r="D1421">
        <v>3.4500159120241798</v>
      </c>
      <c r="E1421">
        <v>183</v>
      </c>
      <c r="F1421" t="s">
        <v>147</v>
      </c>
    </row>
    <row r="1422" spans="1:6" x14ac:dyDescent="0.2">
      <c r="A1422" t="s">
        <v>9</v>
      </c>
      <c r="B1422">
        <v>3748.43729735843</v>
      </c>
      <c r="C1422">
        <v>90274.1</v>
      </c>
      <c r="D1422">
        <v>4.3491223271369899</v>
      </c>
      <c r="E1422">
        <v>183</v>
      </c>
      <c r="F1422" t="s">
        <v>147</v>
      </c>
    </row>
    <row r="1423" spans="1:6" x14ac:dyDescent="0.2">
      <c r="A1423" t="s">
        <v>10</v>
      </c>
      <c r="B1423">
        <v>4093.4952714063502</v>
      </c>
      <c r="C1423">
        <v>66789.16</v>
      </c>
      <c r="D1423">
        <v>5.33877888676325</v>
      </c>
      <c r="E1423">
        <v>183</v>
      </c>
      <c r="F1423" t="s">
        <v>147</v>
      </c>
    </row>
    <row r="1424" spans="1:6" x14ac:dyDescent="0.2">
      <c r="A1424" t="s">
        <v>6</v>
      </c>
      <c r="B1424">
        <v>4398.5312803666702</v>
      </c>
      <c r="C1424">
        <v>101383.56</v>
      </c>
      <c r="D1424">
        <v>5.7907224849542001</v>
      </c>
      <c r="E1424">
        <v>183</v>
      </c>
      <c r="F1424" t="s">
        <v>147</v>
      </c>
    </row>
    <row r="1425" spans="1:6" x14ac:dyDescent="0.2">
      <c r="A1425" t="s">
        <v>6</v>
      </c>
      <c r="B1425">
        <v>4252.5375682305003</v>
      </c>
      <c r="C1425">
        <v>63510.07</v>
      </c>
      <c r="D1425">
        <v>5.7319597537994396</v>
      </c>
      <c r="E1425">
        <v>184</v>
      </c>
      <c r="F1425" t="s">
        <v>148</v>
      </c>
    </row>
    <row r="1426" spans="1:6" x14ac:dyDescent="0.2">
      <c r="A1426" t="s">
        <v>8</v>
      </c>
      <c r="B1426">
        <v>4557.5856171151499</v>
      </c>
      <c r="C1426">
        <v>59723.51</v>
      </c>
      <c r="D1426">
        <v>6.0890235439618401</v>
      </c>
      <c r="E1426">
        <v>184</v>
      </c>
      <c r="F1426" t="s">
        <v>148</v>
      </c>
    </row>
    <row r="1427" spans="1:6" x14ac:dyDescent="0.2">
      <c r="A1427" t="s">
        <v>6</v>
      </c>
      <c r="B1427">
        <v>4886.6087464510802</v>
      </c>
      <c r="C1427">
        <v>62893.74</v>
      </c>
      <c r="D1427">
        <v>6.78068572041194</v>
      </c>
      <c r="E1427">
        <v>184</v>
      </c>
      <c r="F1427" t="s">
        <v>148</v>
      </c>
    </row>
    <row r="1428" spans="1:6" x14ac:dyDescent="0.2">
      <c r="A1428" t="s">
        <v>8</v>
      </c>
      <c r="B1428">
        <v>5191.6779184826401</v>
      </c>
      <c r="C1428">
        <v>104397.24</v>
      </c>
      <c r="D1428">
        <v>7.0203313028494501</v>
      </c>
      <c r="E1428">
        <v>184</v>
      </c>
      <c r="F1428" t="s">
        <v>148</v>
      </c>
    </row>
    <row r="1429" spans="1:6" x14ac:dyDescent="0.2">
      <c r="A1429" t="s">
        <v>11</v>
      </c>
      <c r="B1429">
        <v>5520.70234025016</v>
      </c>
      <c r="C1429">
        <v>179622.14</v>
      </c>
      <c r="D1429">
        <v>7.9477374529520697</v>
      </c>
      <c r="E1429">
        <v>184</v>
      </c>
      <c r="F1429" t="s">
        <v>148</v>
      </c>
    </row>
    <row r="1430" spans="1:6" x14ac:dyDescent="0.2">
      <c r="A1430" t="s">
        <v>6</v>
      </c>
      <c r="B1430">
        <v>2038.29057315003</v>
      </c>
      <c r="C1430">
        <v>23988.44</v>
      </c>
      <c r="D1430">
        <v>0.87054953532218904</v>
      </c>
      <c r="E1430">
        <v>185</v>
      </c>
      <c r="F1430" t="s">
        <v>149</v>
      </c>
    </row>
    <row r="1431" spans="1:6" x14ac:dyDescent="0.2">
      <c r="A1431" t="s">
        <v>9</v>
      </c>
      <c r="B1431">
        <v>2343.3366637202198</v>
      </c>
      <c r="C1431">
        <v>53690.27</v>
      </c>
      <c r="D1431">
        <v>0.96089091854095499</v>
      </c>
      <c r="E1431">
        <v>185</v>
      </c>
      <c r="F1431" t="s">
        <v>149</v>
      </c>
    </row>
    <row r="1432" spans="1:6" x14ac:dyDescent="0.2">
      <c r="A1432" t="s">
        <v>8</v>
      </c>
      <c r="B1432">
        <v>2649.36264608172</v>
      </c>
      <c r="C1432">
        <v>151118.42000000001</v>
      </c>
      <c r="D1432">
        <v>1.2319364364623999</v>
      </c>
      <c r="E1432">
        <v>185</v>
      </c>
      <c r="F1432" t="s">
        <v>149</v>
      </c>
    </row>
    <row r="1433" spans="1:6" x14ac:dyDescent="0.2">
      <c r="A1433" t="s">
        <v>8</v>
      </c>
      <c r="B1433">
        <v>2978.4170678847599</v>
      </c>
      <c r="C1433">
        <v>46219.49</v>
      </c>
      <c r="D1433">
        <v>2.6685131366729702</v>
      </c>
      <c r="E1433">
        <v>185</v>
      </c>
      <c r="F1433" t="s">
        <v>149</v>
      </c>
    </row>
    <row r="1434" spans="1:6" x14ac:dyDescent="0.2">
      <c r="A1434" t="s">
        <v>6</v>
      </c>
      <c r="B1434">
        <v>3307.4708758945599</v>
      </c>
      <c r="C1434">
        <v>94144.28</v>
      </c>
      <c r="D1434">
        <v>4.4123856361389198</v>
      </c>
      <c r="E1434">
        <v>185</v>
      </c>
      <c r="F1434" t="s">
        <v>149</v>
      </c>
    </row>
    <row r="1435" spans="1:6" x14ac:dyDescent="0.2">
      <c r="A1435" t="s">
        <v>9</v>
      </c>
      <c r="B1435">
        <v>3612.5044021937201</v>
      </c>
      <c r="C1435">
        <v>152662.09</v>
      </c>
      <c r="D1435">
        <v>4.8281210438092499</v>
      </c>
      <c r="E1435">
        <v>185</v>
      </c>
      <c r="F1435" t="s">
        <v>149</v>
      </c>
    </row>
    <row r="1436" spans="1:6" x14ac:dyDescent="0.2">
      <c r="A1436" t="s">
        <v>11</v>
      </c>
      <c r="B1436">
        <v>3918.5311683231098</v>
      </c>
      <c r="C1436">
        <v>175722.51</v>
      </c>
      <c r="D1436">
        <v>5.5511773522377004</v>
      </c>
      <c r="E1436">
        <v>185</v>
      </c>
      <c r="F1436" t="s">
        <v>149</v>
      </c>
    </row>
    <row r="1437" spans="1:6" x14ac:dyDescent="0.2">
      <c r="A1437" t="s">
        <v>9</v>
      </c>
      <c r="B1437">
        <v>2340.2266851504601</v>
      </c>
      <c r="C1437">
        <v>111771.2</v>
      </c>
      <c r="D1437">
        <v>1.0512361283779099</v>
      </c>
      <c r="E1437">
        <v>186</v>
      </c>
      <c r="F1437" t="s">
        <v>150</v>
      </c>
    </row>
    <row r="1438" spans="1:6" x14ac:dyDescent="0.2">
      <c r="A1438" t="s">
        <v>9</v>
      </c>
      <c r="B1438">
        <v>2646.2557716269498</v>
      </c>
      <c r="C1438">
        <v>114510.9</v>
      </c>
      <c r="D1438">
        <v>1.34938816981316</v>
      </c>
      <c r="E1438">
        <v>186</v>
      </c>
      <c r="F1438" t="s">
        <v>150</v>
      </c>
    </row>
    <row r="1439" spans="1:6" x14ac:dyDescent="0.2">
      <c r="A1439" t="s">
        <v>6</v>
      </c>
      <c r="B1439">
        <v>2952.2788042274001</v>
      </c>
      <c r="C1439">
        <v>20803.09</v>
      </c>
      <c r="D1439">
        <v>2.4290808931668599</v>
      </c>
      <c r="E1439">
        <v>186</v>
      </c>
      <c r="F1439" t="s">
        <v>150</v>
      </c>
    </row>
    <row r="1440" spans="1:6" x14ac:dyDescent="0.2">
      <c r="A1440" t="s">
        <v>10</v>
      </c>
      <c r="B1440">
        <v>3257.3204757399499</v>
      </c>
      <c r="C1440">
        <v>79473.03</v>
      </c>
      <c r="D1440">
        <v>3.41839412010511</v>
      </c>
      <c r="E1440">
        <v>186</v>
      </c>
      <c r="F1440" t="s">
        <v>150</v>
      </c>
    </row>
    <row r="1441" spans="1:6" x14ac:dyDescent="0.2">
      <c r="A1441" t="s">
        <v>8</v>
      </c>
      <c r="B1441">
        <v>3602.3696330543398</v>
      </c>
      <c r="C1441">
        <v>103786.31</v>
      </c>
      <c r="D1441">
        <v>4.5298796192487103</v>
      </c>
      <c r="E1441">
        <v>186</v>
      </c>
      <c r="F1441" t="s">
        <v>150</v>
      </c>
    </row>
    <row r="1442" spans="1:6" x14ac:dyDescent="0.2">
      <c r="A1442" t="s">
        <v>10</v>
      </c>
      <c r="B1442">
        <v>3931.42206823273</v>
      </c>
      <c r="C1442">
        <v>95754.73</v>
      </c>
      <c r="D1442">
        <v>5.5511773522377004</v>
      </c>
      <c r="E1442">
        <v>186</v>
      </c>
      <c r="F1442" t="s">
        <v>150</v>
      </c>
    </row>
    <row r="1443" spans="1:6" x14ac:dyDescent="0.2">
      <c r="A1443" t="s">
        <v>10</v>
      </c>
      <c r="B1443">
        <v>4276.4732893957198</v>
      </c>
      <c r="C1443">
        <v>114038.81</v>
      </c>
      <c r="D1443">
        <v>6.17943720377286</v>
      </c>
      <c r="E1443">
        <v>186</v>
      </c>
      <c r="F1443" t="s">
        <v>150</v>
      </c>
    </row>
    <row r="1444" spans="1:6" x14ac:dyDescent="0.2">
      <c r="A1444" t="s">
        <v>8</v>
      </c>
      <c r="B1444">
        <v>4621.5233504457201</v>
      </c>
      <c r="C1444">
        <v>130299.4</v>
      </c>
      <c r="D1444">
        <v>6.6902697598616303</v>
      </c>
      <c r="E1444">
        <v>186</v>
      </c>
      <c r="F1444" t="s">
        <v>150</v>
      </c>
    </row>
    <row r="1445" spans="1:6" x14ac:dyDescent="0.2">
      <c r="A1445" t="s">
        <v>11</v>
      </c>
      <c r="B1445">
        <v>4950.5790639635898</v>
      </c>
      <c r="C1445">
        <v>172732.4</v>
      </c>
      <c r="D1445">
        <v>7.3504987692515096</v>
      </c>
      <c r="E1445">
        <v>186</v>
      </c>
      <c r="F1445" t="s">
        <v>150</v>
      </c>
    </row>
    <row r="1446" spans="1:6" x14ac:dyDescent="0.2">
      <c r="A1446" t="s">
        <v>10</v>
      </c>
      <c r="B1446">
        <v>5295.6388195033496</v>
      </c>
      <c r="C1446">
        <v>151337.41</v>
      </c>
      <c r="D1446">
        <v>7.7124150033473997</v>
      </c>
      <c r="E1446">
        <v>186</v>
      </c>
      <c r="F1446" t="s">
        <v>150</v>
      </c>
    </row>
    <row r="1447" spans="1:6" x14ac:dyDescent="0.2">
      <c r="A1447" t="s">
        <v>9</v>
      </c>
      <c r="B1447">
        <v>2369.36541037801</v>
      </c>
      <c r="C1447">
        <v>54548.7</v>
      </c>
      <c r="D1447">
        <v>1.91861084458033</v>
      </c>
      <c r="E1447">
        <v>187</v>
      </c>
      <c r="F1447" t="s">
        <v>151</v>
      </c>
    </row>
    <row r="1448" spans="1:6" x14ac:dyDescent="0.2">
      <c r="A1448" t="s">
        <v>8</v>
      </c>
      <c r="B1448">
        <v>2675.3975446674699</v>
      </c>
      <c r="C1448">
        <v>105160.98</v>
      </c>
      <c r="D1448">
        <v>2.9124480958461798</v>
      </c>
      <c r="E1448">
        <v>187</v>
      </c>
      <c r="F1448" t="s">
        <v>151</v>
      </c>
    </row>
    <row r="1449" spans="1:6" x14ac:dyDescent="0.2">
      <c r="A1449" t="s">
        <v>8</v>
      </c>
      <c r="B1449">
        <v>3004.4480434708898</v>
      </c>
      <c r="C1449">
        <v>137075.49</v>
      </c>
      <c r="D1449">
        <v>4.5298796192487103</v>
      </c>
      <c r="E1449">
        <v>187</v>
      </c>
      <c r="F1449" t="s">
        <v>151</v>
      </c>
    </row>
    <row r="1450" spans="1:6" x14ac:dyDescent="0.2">
      <c r="A1450" t="s">
        <v>9</v>
      </c>
      <c r="B1450">
        <v>3333.4996308085601</v>
      </c>
      <c r="C1450">
        <v>160171.81</v>
      </c>
      <c r="D1450">
        <v>5.7590797618706997</v>
      </c>
      <c r="E1450">
        <v>187</v>
      </c>
      <c r="F1450" t="s">
        <v>151</v>
      </c>
    </row>
    <row r="1451" spans="1:6" x14ac:dyDescent="0.2">
      <c r="A1451" t="s">
        <v>6</v>
      </c>
      <c r="B1451">
        <v>3639.4952898239799</v>
      </c>
      <c r="C1451">
        <v>31719.17</v>
      </c>
      <c r="D1451">
        <v>3.9605501786549899</v>
      </c>
      <c r="E1451">
        <v>187</v>
      </c>
      <c r="F1451" t="s">
        <v>151</v>
      </c>
    </row>
    <row r="1452" spans="1:6" x14ac:dyDescent="0.2">
      <c r="A1452" t="s">
        <v>10</v>
      </c>
      <c r="B1452">
        <v>3944.5261596444898</v>
      </c>
      <c r="C1452">
        <v>58665.08</v>
      </c>
      <c r="D1452">
        <v>4.8010087624867799</v>
      </c>
      <c r="E1452">
        <v>187</v>
      </c>
      <c r="F1452" t="s">
        <v>151</v>
      </c>
    </row>
    <row r="1453" spans="1:6" x14ac:dyDescent="0.2">
      <c r="A1453" t="s">
        <v>10</v>
      </c>
      <c r="B1453">
        <v>4289.5814603196504</v>
      </c>
      <c r="C1453">
        <v>10110.57</v>
      </c>
      <c r="D1453">
        <v>5.4291594202995297</v>
      </c>
      <c r="E1453">
        <v>187</v>
      </c>
      <c r="F1453" t="s">
        <v>151</v>
      </c>
    </row>
    <row r="1454" spans="1:6" x14ac:dyDescent="0.2">
      <c r="A1454" t="s">
        <v>8</v>
      </c>
      <c r="B1454">
        <v>4634.6262523729501</v>
      </c>
      <c r="C1454">
        <v>13644.18</v>
      </c>
      <c r="D1454">
        <v>6.2110808606624603</v>
      </c>
      <c r="E1454">
        <v>187</v>
      </c>
      <c r="F1454" t="s">
        <v>151</v>
      </c>
    </row>
    <row r="1455" spans="1:6" x14ac:dyDescent="0.2">
      <c r="A1455" t="s">
        <v>9</v>
      </c>
      <c r="B1455">
        <v>4963.6587509424398</v>
      </c>
      <c r="C1455">
        <v>9951.27</v>
      </c>
      <c r="D1455">
        <v>6.78068572041194</v>
      </c>
      <c r="E1455">
        <v>187</v>
      </c>
      <c r="F1455" t="s">
        <v>151</v>
      </c>
    </row>
    <row r="1456" spans="1:6" x14ac:dyDescent="0.2">
      <c r="A1456" t="s">
        <v>9</v>
      </c>
      <c r="B1456">
        <v>5269.7026049303104</v>
      </c>
      <c r="C1456">
        <v>127510.45</v>
      </c>
      <c r="D1456">
        <v>6.0031435604572296</v>
      </c>
      <c r="E1456">
        <v>187</v>
      </c>
      <c r="F1456" t="s">
        <v>151</v>
      </c>
    </row>
    <row r="1457" spans="1:6" x14ac:dyDescent="0.2">
      <c r="A1457" t="s">
        <v>8</v>
      </c>
      <c r="B1457">
        <v>5575.7361506421003</v>
      </c>
      <c r="C1457">
        <v>92289.46</v>
      </c>
      <c r="D1457">
        <v>6.3919035450299599</v>
      </c>
      <c r="E1457">
        <v>187</v>
      </c>
      <c r="F1457" t="s">
        <v>151</v>
      </c>
    </row>
    <row r="1458" spans="1:6" x14ac:dyDescent="0.2">
      <c r="A1458" t="s">
        <v>6</v>
      </c>
      <c r="B1458">
        <v>5904.8310693781004</v>
      </c>
      <c r="C1458">
        <v>66632.600000000006</v>
      </c>
      <c r="D1458">
        <v>9.4199661111513802</v>
      </c>
      <c r="E1458">
        <v>187</v>
      </c>
      <c r="F1458" t="s">
        <v>151</v>
      </c>
    </row>
    <row r="1459" spans="1:6" x14ac:dyDescent="0.2">
      <c r="A1459" t="s">
        <v>6</v>
      </c>
      <c r="B1459">
        <v>6209.88345601746</v>
      </c>
      <c r="C1459">
        <v>79405.759999999995</v>
      </c>
      <c r="D1459">
        <v>9.7508374289353696</v>
      </c>
      <c r="E1459">
        <v>187</v>
      </c>
      <c r="F1459" t="s">
        <v>151</v>
      </c>
    </row>
    <row r="1460" spans="1:6" x14ac:dyDescent="0.2">
      <c r="A1460" t="s">
        <v>6</v>
      </c>
      <c r="B1460">
        <v>6514.92339007587</v>
      </c>
      <c r="C1460">
        <v>54901.43</v>
      </c>
      <c r="D1460">
        <v>9.7508374289353696</v>
      </c>
      <c r="E1460">
        <v>187</v>
      </c>
      <c r="F1460" t="s">
        <v>151</v>
      </c>
    </row>
    <row r="1461" spans="1:6" x14ac:dyDescent="0.2">
      <c r="A1461" t="s">
        <v>11</v>
      </c>
      <c r="B1461">
        <v>6819.9626336908996</v>
      </c>
      <c r="C1461">
        <v>171656.32000000001</v>
      </c>
      <c r="D1461">
        <v>9.7780419782479608</v>
      </c>
      <c r="E1461">
        <v>187</v>
      </c>
      <c r="F1461" t="s">
        <v>151</v>
      </c>
    </row>
    <row r="1462" spans="1:6" x14ac:dyDescent="0.2">
      <c r="A1462" t="s">
        <v>10</v>
      </c>
      <c r="B1462">
        <v>2773.32626447557</v>
      </c>
      <c r="C1462">
        <v>38973.879999999997</v>
      </c>
      <c r="D1462">
        <v>1.0512361283779099</v>
      </c>
      <c r="E1462">
        <v>194</v>
      </c>
      <c r="F1462" t="s">
        <v>152</v>
      </c>
    </row>
    <row r="1463" spans="1:6" x14ac:dyDescent="0.2">
      <c r="A1463" t="s">
        <v>10</v>
      </c>
      <c r="B1463">
        <v>3118.3759259339499</v>
      </c>
      <c r="C1463">
        <v>64636.97</v>
      </c>
      <c r="D1463">
        <v>1.62044557886124</v>
      </c>
      <c r="E1463">
        <v>194</v>
      </c>
      <c r="F1463" t="s">
        <v>152</v>
      </c>
    </row>
    <row r="1464" spans="1:6" x14ac:dyDescent="0.2">
      <c r="A1464" t="s">
        <v>8</v>
      </c>
      <c r="B1464">
        <v>3463.4218904168001</v>
      </c>
      <c r="C1464">
        <v>20233.64</v>
      </c>
      <c r="D1464">
        <v>2.93955408689181</v>
      </c>
      <c r="E1464">
        <v>194</v>
      </c>
      <c r="F1464" t="s">
        <v>152</v>
      </c>
    </row>
    <row r="1465" spans="1:6" x14ac:dyDescent="0.2">
      <c r="A1465" t="s">
        <v>11</v>
      </c>
      <c r="B1465">
        <v>3792.4631186880501</v>
      </c>
      <c r="C1465">
        <v>166393.21</v>
      </c>
      <c r="D1465">
        <v>4.5569924191315998</v>
      </c>
      <c r="E1465">
        <v>194</v>
      </c>
      <c r="F1465" t="s">
        <v>152</v>
      </c>
    </row>
    <row r="1466" spans="1:6" x14ac:dyDescent="0.2">
      <c r="A1466" t="s">
        <v>10</v>
      </c>
      <c r="B1466">
        <v>4137.5210229663899</v>
      </c>
      <c r="C1466">
        <v>57775.86</v>
      </c>
      <c r="D1466">
        <v>5.2529161369482704</v>
      </c>
      <c r="E1466">
        <v>194</v>
      </c>
      <c r="F1466" t="s">
        <v>152</v>
      </c>
    </row>
    <row r="1467" spans="1:6" x14ac:dyDescent="0.2">
      <c r="A1467" t="s">
        <v>6</v>
      </c>
      <c r="B1467">
        <v>4442.5641037864798</v>
      </c>
      <c r="C1467">
        <v>62841.94</v>
      </c>
      <c r="D1467">
        <v>5.7319597537994396</v>
      </c>
      <c r="E1467">
        <v>194</v>
      </c>
      <c r="F1467" t="s">
        <v>152</v>
      </c>
    </row>
    <row r="1468" spans="1:6" x14ac:dyDescent="0.2">
      <c r="A1468" t="s">
        <v>10</v>
      </c>
      <c r="B1468">
        <v>4787.5919795358004</v>
      </c>
      <c r="C1468">
        <v>51470.14</v>
      </c>
      <c r="D1468">
        <v>6.3014941866874699</v>
      </c>
      <c r="E1468">
        <v>194</v>
      </c>
      <c r="F1468" t="s">
        <v>152</v>
      </c>
    </row>
    <row r="1469" spans="1:6" x14ac:dyDescent="0.2">
      <c r="A1469" t="s">
        <v>10</v>
      </c>
      <c r="B1469">
        <v>5132.6861576548799</v>
      </c>
      <c r="C1469">
        <v>33841.800000000003</v>
      </c>
      <c r="D1469">
        <v>8.1016532953262299</v>
      </c>
      <c r="E1469">
        <v>194</v>
      </c>
      <c r="F1469" t="s">
        <v>152</v>
      </c>
    </row>
    <row r="1470" spans="1:6" x14ac:dyDescent="0.2">
      <c r="A1470" t="s">
        <v>6</v>
      </c>
      <c r="B1470">
        <v>5437.7181651978199</v>
      </c>
      <c r="C1470">
        <v>59590.81</v>
      </c>
      <c r="D1470">
        <v>8.3733119284788806</v>
      </c>
      <c r="E1470">
        <v>194</v>
      </c>
      <c r="F1470" t="s">
        <v>152</v>
      </c>
    </row>
    <row r="1471" spans="1:6" x14ac:dyDescent="0.2">
      <c r="A1471" t="s">
        <v>9</v>
      </c>
      <c r="B1471">
        <v>5743.7469327557801</v>
      </c>
      <c r="C1471">
        <v>76277.649999999994</v>
      </c>
      <c r="D1471">
        <v>8.7310867782115906</v>
      </c>
      <c r="E1471">
        <v>194</v>
      </c>
      <c r="F1471" t="s">
        <v>152</v>
      </c>
    </row>
    <row r="1472" spans="1:6" x14ac:dyDescent="0.2">
      <c r="A1472" t="s">
        <v>9</v>
      </c>
      <c r="B1472">
        <v>6049.7948517718296</v>
      </c>
      <c r="C1472">
        <v>31469.49</v>
      </c>
      <c r="D1472">
        <v>8.9984834865411099</v>
      </c>
      <c r="E1472">
        <v>194</v>
      </c>
      <c r="F1472" t="s">
        <v>152</v>
      </c>
    </row>
    <row r="1473" spans="1:6" x14ac:dyDescent="0.2">
      <c r="A1473" t="s">
        <v>8</v>
      </c>
      <c r="B1473">
        <v>1972.1397842486399</v>
      </c>
      <c r="C1473">
        <v>42941.95</v>
      </c>
      <c r="D1473">
        <v>0.87054953532218904</v>
      </c>
      <c r="E1473">
        <v>196</v>
      </c>
      <c r="F1473" t="s">
        <v>153</v>
      </c>
    </row>
    <row r="1474" spans="1:6" x14ac:dyDescent="0.2">
      <c r="A1474" t="s">
        <v>8</v>
      </c>
      <c r="B1474">
        <v>2301.1948534007502</v>
      </c>
      <c r="C1474">
        <v>97963.4</v>
      </c>
      <c r="D1474">
        <v>1.14158847090403</v>
      </c>
      <c r="E1474">
        <v>196</v>
      </c>
      <c r="F1474" t="s">
        <v>153</v>
      </c>
    </row>
    <row r="1475" spans="1:6" x14ac:dyDescent="0.2">
      <c r="A1475" t="s">
        <v>9</v>
      </c>
      <c r="B1475">
        <v>2630.2466090267299</v>
      </c>
      <c r="C1475">
        <v>73135.7</v>
      </c>
      <c r="D1475">
        <v>2.3703532870292698</v>
      </c>
      <c r="E1475">
        <v>196</v>
      </c>
      <c r="F1475" t="s">
        <v>153</v>
      </c>
    </row>
    <row r="1476" spans="1:6" x14ac:dyDescent="0.2">
      <c r="A1476" t="s">
        <v>11</v>
      </c>
      <c r="B1476">
        <v>2936.2709493470302</v>
      </c>
      <c r="C1476">
        <v>163952.65</v>
      </c>
      <c r="D1476">
        <v>3.68945406235059</v>
      </c>
      <c r="E1476">
        <v>196</v>
      </c>
      <c r="F1476" t="s">
        <v>153</v>
      </c>
    </row>
    <row r="1477" spans="1:6" x14ac:dyDescent="0.2">
      <c r="A1477" t="s">
        <v>8</v>
      </c>
      <c r="B1477">
        <v>3265.3223115186602</v>
      </c>
      <c r="C1477">
        <v>142395.85</v>
      </c>
      <c r="D1477">
        <v>5.0721379712899504</v>
      </c>
      <c r="E1477">
        <v>196</v>
      </c>
      <c r="F1477" t="s">
        <v>153</v>
      </c>
    </row>
    <row r="1478" spans="1:6" x14ac:dyDescent="0.2">
      <c r="A1478" t="s">
        <v>8</v>
      </c>
      <c r="B1478">
        <v>3594.37281113071</v>
      </c>
      <c r="C1478">
        <v>110393.98</v>
      </c>
      <c r="D1478">
        <v>6.0302656864801998</v>
      </c>
      <c r="E1478">
        <v>196</v>
      </c>
      <c r="F1478" t="s">
        <v>153</v>
      </c>
    </row>
    <row r="1479" spans="1:6" x14ac:dyDescent="0.2">
      <c r="A1479" t="s">
        <v>11</v>
      </c>
      <c r="B1479">
        <v>3801.4851238115998</v>
      </c>
      <c r="C1479">
        <v>160728.03</v>
      </c>
      <c r="D1479">
        <v>3.5719884033680001</v>
      </c>
      <c r="E1479">
        <v>199</v>
      </c>
      <c r="F1479" t="s">
        <v>154</v>
      </c>
    </row>
    <row r="1480" spans="1:6" x14ac:dyDescent="0.2">
      <c r="A1480" t="s">
        <v>6</v>
      </c>
      <c r="B1480">
        <v>4106.5239953191403</v>
      </c>
      <c r="C1480">
        <v>140398.29</v>
      </c>
      <c r="D1480">
        <v>4.32201112863223</v>
      </c>
      <c r="E1480">
        <v>199</v>
      </c>
      <c r="F1480" t="s">
        <v>154</v>
      </c>
    </row>
    <row r="1481" spans="1:6" x14ac:dyDescent="0.2">
      <c r="A1481" t="s">
        <v>6</v>
      </c>
      <c r="B1481">
        <v>4411.5643264437304</v>
      </c>
      <c r="C1481">
        <v>99553.16</v>
      </c>
      <c r="D1481">
        <v>4.85975264466604</v>
      </c>
      <c r="E1481">
        <v>199</v>
      </c>
      <c r="F1481" t="s">
        <v>154</v>
      </c>
    </row>
    <row r="1482" spans="1:6" x14ac:dyDescent="0.2">
      <c r="A1482" t="s">
        <v>6</v>
      </c>
      <c r="B1482">
        <v>4716.6063516045297</v>
      </c>
      <c r="C1482">
        <v>51652.35</v>
      </c>
      <c r="D1482">
        <v>5.3071398452599796</v>
      </c>
      <c r="E1482">
        <v>199</v>
      </c>
      <c r="F1482" t="s">
        <v>154</v>
      </c>
    </row>
    <row r="1483" spans="1:6" x14ac:dyDescent="0.2">
      <c r="A1483" t="s">
        <v>6</v>
      </c>
      <c r="B1483">
        <v>5021.6473351633304</v>
      </c>
      <c r="C1483">
        <v>42592.24</v>
      </c>
      <c r="D1483">
        <v>5.7590797618706997</v>
      </c>
      <c r="E1483">
        <v>199</v>
      </c>
      <c r="F1483" t="s">
        <v>154</v>
      </c>
    </row>
    <row r="1484" spans="1:6" x14ac:dyDescent="0.2">
      <c r="A1484" t="s">
        <v>10</v>
      </c>
      <c r="B1484">
        <v>5366.67266172372</v>
      </c>
      <c r="C1484">
        <v>35161.440000000002</v>
      </c>
      <c r="D1484">
        <v>7.4681177532355001</v>
      </c>
      <c r="E1484">
        <v>199</v>
      </c>
      <c r="F1484" t="s">
        <v>154</v>
      </c>
    </row>
    <row r="1485" spans="1:6" x14ac:dyDescent="0.2">
      <c r="A1485" t="s">
        <v>9</v>
      </c>
      <c r="B1485">
        <v>2923.40940255232</v>
      </c>
      <c r="C1485">
        <v>31318.18</v>
      </c>
      <c r="D1485">
        <v>1.0512361283779099</v>
      </c>
      <c r="E1485">
        <v>205</v>
      </c>
      <c r="F1485" t="s">
        <v>155</v>
      </c>
    </row>
    <row r="1486" spans="1:6" x14ac:dyDescent="0.2">
      <c r="A1486" t="s">
        <v>9</v>
      </c>
      <c r="B1486">
        <v>3229.4364035741901</v>
      </c>
      <c r="C1486">
        <v>135860.21</v>
      </c>
      <c r="D1486">
        <v>4.4394991870403304</v>
      </c>
      <c r="E1486">
        <v>205</v>
      </c>
      <c r="F1486" t="s">
        <v>155</v>
      </c>
    </row>
    <row r="1487" spans="1:6" x14ac:dyDescent="0.2">
      <c r="A1487" t="s">
        <v>9</v>
      </c>
      <c r="B1487">
        <v>3535.46726943884</v>
      </c>
      <c r="C1487">
        <v>20175.900000000001</v>
      </c>
      <c r="D1487">
        <v>2.6097861702918999</v>
      </c>
      <c r="E1487">
        <v>205</v>
      </c>
      <c r="F1487" t="s">
        <v>155</v>
      </c>
    </row>
    <row r="1488" spans="1:6" x14ac:dyDescent="0.2">
      <c r="A1488" t="s">
        <v>8</v>
      </c>
      <c r="B1488">
        <v>3841.4954938158298</v>
      </c>
      <c r="C1488">
        <v>59265.63</v>
      </c>
      <c r="D1488">
        <v>3.8430762107849099</v>
      </c>
      <c r="E1488">
        <v>205</v>
      </c>
      <c r="F1488" t="s">
        <v>155</v>
      </c>
    </row>
    <row r="1489" spans="1:6" x14ac:dyDescent="0.2">
      <c r="A1489" t="s">
        <v>6</v>
      </c>
      <c r="B1489">
        <v>4170.5677262332802</v>
      </c>
      <c r="C1489">
        <v>64381.35</v>
      </c>
      <c r="D1489">
        <v>6.7173964198112497</v>
      </c>
      <c r="E1489">
        <v>205</v>
      </c>
      <c r="F1489" t="s">
        <v>155</v>
      </c>
    </row>
    <row r="1490" spans="1:6" x14ac:dyDescent="0.2">
      <c r="A1490" t="s">
        <v>6</v>
      </c>
      <c r="B1490">
        <v>4475.5820543147001</v>
      </c>
      <c r="C1490">
        <v>26735.25</v>
      </c>
      <c r="D1490">
        <v>5.4291594202995297</v>
      </c>
      <c r="E1490">
        <v>205</v>
      </c>
      <c r="F1490" t="s">
        <v>155</v>
      </c>
    </row>
    <row r="1491" spans="1:6" x14ac:dyDescent="0.2">
      <c r="A1491" t="s">
        <v>10</v>
      </c>
      <c r="B1491">
        <v>4780.60767664788</v>
      </c>
      <c r="C1491">
        <v>102211.59</v>
      </c>
      <c r="D1491">
        <v>7.3504987692515096</v>
      </c>
      <c r="E1491">
        <v>205</v>
      </c>
      <c r="F1491" t="s">
        <v>155</v>
      </c>
    </row>
    <row r="1492" spans="1:6" x14ac:dyDescent="0.2">
      <c r="A1492" t="s">
        <v>11</v>
      </c>
      <c r="B1492">
        <v>5125.6577266467002</v>
      </c>
      <c r="C1492">
        <v>155443.04</v>
      </c>
      <c r="D1492">
        <v>7.7124150033473997</v>
      </c>
      <c r="E1492">
        <v>205</v>
      </c>
      <c r="F1492" t="s">
        <v>155</v>
      </c>
    </row>
    <row r="1493" spans="1:6" x14ac:dyDescent="0.2">
      <c r="A1493" t="s">
        <v>10</v>
      </c>
      <c r="B1493">
        <v>5470.7194865872798</v>
      </c>
      <c r="C1493">
        <v>8175.15</v>
      </c>
      <c r="D1493">
        <v>6.7173964198112497</v>
      </c>
      <c r="E1493">
        <v>205</v>
      </c>
      <c r="F1493" t="s">
        <v>155</v>
      </c>
    </row>
    <row r="1494" spans="1:6" x14ac:dyDescent="0.2">
      <c r="A1494" t="s">
        <v>11</v>
      </c>
      <c r="B1494">
        <v>2008.32252294822</v>
      </c>
      <c r="C1494">
        <v>152506.23999999999</v>
      </c>
      <c r="D1494">
        <v>1.50298852082888</v>
      </c>
      <c r="E1494">
        <v>207</v>
      </c>
      <c r="F1494" t="s">
        <v>156</v>
      </c>
    </row>
    <row r="1495" spans="1:6" x14ac:dyDescent="0.2">
      <c r="A1495" t="s">
        <v>10</v>
      </c>
      <c r="B1495">
        <v>2353.3708388547502</v>
      </c>
      <c r="C1495">
        <v>142216.62</v>
      </c>
      <c r="D1495">
        <v>2.39745846149127</v>
      </c>
      <c r="E1495">
        <v>207</v>
      </c>
      <c r="F1495" t="s">
        <v>156</v>
      </c>
    </row>
    <row r="1496" spans="1:6" x14ac:dyDescent="0.2">
      <c r="A1496" t="s">
        <v>8</v>
      </c>
      <c r="B1496">
        <v>2682.4237508635501</v>
      </c>
      <c r="C1496">
        <v>80214.67</v>
      </c>
      <c r="D1496">
        <v>4.0509121612389896</v>
      </c>
      <c r="E1496">
        <v>207</v>
      </c>
      <c r="F1496" t="s">
        <v>156</v>
      </c>
    </row>
    <row r="1497" spans="1:6" x14ac:dyDescent="0.2">
      <c r="A1497" t="s">
        <v>10</v>
      </c>
      <c r="B1497">
        <v>3027.46941920264</v>
      </c>
      <c r="C1497">
        <v>109124.42</v>
      </c>
      <c r="D1497">
        <v>4.9501272952238704</v>
      </c>
      <c r="E1497">
        <v>207</v>
      </c>
      <c r="F1497" t="s">
        <v>156</v>
      </c>
    </row>
    <row r="1498" spans="1:6" x14ac:dyDescent="0.2">
      <c r="A1498" t="s">
        <v>8</v>
      </c>
      <c r="B1498">
        <v>3356.5221632682201</v>
      </c>
      <c r="C1498">
        <v>54737.07</v>
      </c>
      <c r="D1498">
        <v>5.8494748866240203</v>
      </c>
      <c r="E1498">
        <v>207</v>
      </c>
      <c r="F1498" t="s">
        <v>156</v>
      </c>
    </row>
    <row r="1499" spans="1:6" x14ac:dyDescent="0.2">
      <c r="A1499" t="s">
        <v>9</v>
      </c>
      <c r="B1499">
        <v>3662.54789308004</v>
      </c>
      <c r="C1499">
        <v>123702.56</v>
      </c>
      <c r="D1499">
        <v>6.6902697598616303</v>
      </c>
      <c r="E1499">
        <v>207</v>
      </c>
      <c r="F1499" t="s">
        <v>156</v>
      </c>
    </row>
    <row r="1500" spans="1:6" x14ac:dyDescent="0.2">
      <c r="A1500" t="s">
        <v>6</v>
      </c>
      <c r="B1500">
        <v>3967.5968857519001</v>
      </c>
      <c r="C1500">
        <v>84408.16</v>
      </c>
      <c r="D1500">
        <v>7.0519884542306297</v>
      </c>
      <c r="E1500">
        <v>207</v>
      </c>
      <c r="F1500" t="s">
        <v>156</v>
      </c>
    </row>
    <row r="1501" spans="1:6" x14ac:dyDescent="0.2">
      <c r="A1501" t="s">
        <v>8</v>
      </c>
      <c r="B1501">
        <v>4296.6145036071002</v>
      </c>
      <c r="C1501">
        <v>16103.24</v>
      </c>
      <c r="D1501">
        <v>5.9398688292185504</v>
      </c>
      <c r="E1501">
        <v>207</v>
      </c>
      <c r="F1501" t="s">
        <v>156</v>
      </c>
    </row>
    <row r="1502" spans="1:6" x14ac:dyDescent="0.2">
      <c r="A1502" t="s">
        <v>10</v>
      </c>
      <c r="B1502">
        <v>2317.19840275875</v>
      </c>
      <c r="C1502">
        <v>20570.16</v>
      </c>
      <c r="D1502">
        <v>0.98799588637351998</v>
      </c>
      <c r="E1502">
        <v>210</v>
      </c>
      <c r="F1502" t="s">
        <v>157</v>
      </c>
    </row>
    <row r="1503" spans="1:6" x14ac:dyDescent="0.2">
      <c r="A1503" t="s">
        <v>6</v>
      </c>
      <c r="B1503">
        <v>2662.2465354741198</v>
      </c>
      <c r="C1503">
        <v>93171.29</v>
      </c>
      <c r="D1503">
        <v>1.14158847090403</v>
      </c>
      <c r="E1503">
        <v>210</v>
      </c>
      <c r="F1503" t="s">
        <v>157</v>
      </c>
    </row>
    <row r="1504" spans="1:6" x14ac:dyDescent="0.2">
      <c r="A1504" t="s">
        <v>9</v>
      </c>
      <c r="B1504">
        <v>2967.28649529822</v>
      </c>
      <c r="C1504">
        <v>104109.44</v>
      </c>
      <c r="D1504">
        <v>1.7107927099545801</v>
      </c>
      <c r="E1504">
        <v>210</v>
      </c>
      <c r="F1504" t="s">
        <v>157</v>
      </c>
    </row>
    <row r="1505" spans="1:6" x14ac:dyDescent="0.2">
      <c r="A1505" t="s">
        <v>10</v>
      </c>
      <c r="B1505">
        <v>3273.3137992349498</v>
      </c>
      <c r="C1505">
        <v>64075.69</v>
      </c>
      <c r="D1505">
        <v>3.0299002126534802</v>
      </c>
      <c r="E1505">
        <v>210</v>
      </c>
      <c r="F1505" t="s">
        <v>157</v>
      </c>
    </row>
    <row r="1506" spans="1:6" x14ac:dyDescent="0.2">
      <c r="A1506" t="s">
        <v>10</v>
      </c>
      <c r="B1506">
        <v>3618.3640914000898</v>
      </c>
      <c r="C1506">
        <v>40508.800000000003</v>
      </c>
      <c r="D1506">
        <v>4.07801836090088</v>
      </c>
      <c r="E1506">
        <v>210</v>
      </c>
      <c r="F1506" t="s">
        <v>157</v>
      </c>
    </row>
    <row r="1507" spans="1:6" x14ac:dyDescent="0.2">
      <c r="A1507" t="s">
        <v>6</v>
      </c>
      <c r="B1507">
        <v>3963.4115806907598</v>
      </c>
      <c r="C1507">
        <v>7289.05</v>
      </c>
      <c r="D1507">
        <v>4.9184974447568299</v>
      </c>
      <c r="E1507">
        <v>210</v>
      </c>
      <c r="F1507" t="s">
        <v>157</v>
      </c>
    </row>
    <row r="1508" spans="1:6" x14ac:dyDescent="0.2">
      <c r="A1508" t="s">
        <v>10</v>
      </c>
      <c r="B1508">
        <v>4268.4784406871304</v>
      </c>
      <c r="C1508">
        <v>84795.64</v>
      </c>
      <c r="D1508">
        <v>7.3504987692515096</v>
      </c>
      <c r="E1508">
        <v>210</v>
      </c>
      <c r="F1508" t="s">
        <v>157</v>
      </c>
    </row>
    <row r="1509" spans="1:6" x14ac:dyDescent="0.2">
      <c r="A1509" t="s">
        <v>8</v>
      </c>
      <c r="B1509">
        <v>4613.5256599697695</v>
      </c>
      <c r="C1509">
        <v>123448.74</v>
      </c>
      <c r="D1509">
        <v>7.7395614460786204</v>
      </c>
      <c r="E1509">
        <v>210</v>
      </c>
      <c r="F1509" t="s">
        <v>157</v>
      </c>
    </row>
    <row r="1510" spans="1:6" x14ac:dyDescent="0.2">
      <c r="A1510" t="s">
        <v>10</v>
      </c>
      <c r="B1510">
        <v>4942.5498332801799</v>
      </c>
      <c r="C1510">
        <v>14140.43</v>
      </c>
      <c r="D1510">
        <v>6.6631430204391497</v>
      </c>
      <c r="E1510">
        <v>210</v>
      </c>
      <c r="F1510" t="s">
        <v>157</v>
      </c>
    </row>
    <row r="1511" spans="1:6" x14ac:dyDescent="0.2">
      <c r="A1511" t="s">
        <v>11</v>
      </c>
      <c r="B1511">
        <v>5287.6349879197596</v>
      </c>
      <c r="C1511">
        <v>151257.21</v>
      </c>
      <c r="D1511">
        <v>8.6721980766137392</v>
      </c>
      <c r="E1511">
        <v>210</v>
      </c>
      <c r="F1511" t="s">
        <v>157</v>
      </c>
    </row>
    <row r="1512" spans="1:6" x14ac:dyDescent="0.2">
      <c r="A1512" t="s">
        <v>8</v>
      </c>
      <c r="B1512">
        <v>5616.7010188616496</v>
      </c>
      <c r="C1512">
        <v>120552.07</v>
      </c>
      <c r="D1512">
        <v>9.1797867949485799</v>
      </c>
      <c r="E1512">
        <v>210</v>
      </c>
      <c r="F1512" t="s">
        <v>157</v>
      </c>
    </row>
    <row r="1513" spans="1:6" x14ac:dyDescent="0.2">
      <c r="A1513" t="s">
        <v>8</v>
      </c>
      <c r="B1513">
        <v>5945.7751703150498</v>
      </c>
      <c r="C1513">
        <v>102371.04</v>
      </c>
      <c r="D1513">
        <v>7.53146161195437</v>
      </c>
      <c r="E1513">
        <v>210</v>
      </c>
      <c r="F1513" t="s">
        <v>157</v>
      </c>
    </row>
    <row r="1514" spans="1:6" x14ac:dyDescent="0.2">
      <c r="A1514" t="s">
        <v>9</v>
      </c>
      <c r="B1514">
        <v>5951.83697501389</v>
      </c>
      <c r="C1514">
        <v>55233.33</v>
      </c>
      <c r="D1514">
        <v>8.6087896442095406</v>
      </c>
      <c r="E1514">
        <v>213</v>
      </c>
      <c r="F1514" t="s">
        <v>158</v>
      </c>
    </row>
    <row r="1515" spans="1:6" x14ac:dyDescent="0.2">
      <c r="A1515" t="s">
        <v>6</v>
      </c>
      <c r="B1515">
        <v>6257.8599991165902</v>
      </c>
      <c r="C1515">
        <v>99975.54</v>
      </c>
      <c r="D1515">
        <v>8.8806360796769503</v>
      </c>
      <c r="E1515">
        <v>213</v>
      </c>
      <c r="F1515" t="s">
        <v>158</v>
      </c>
    </row>
    <row r="1516" spans="1:6" x14ac:dyDescent="0.2">
      <c r="A1516" t="s">
        <v>6</v>
      </c>
      <c r="B1516">
        <v>6562.8980682399197</v>
      </c>
      <c r="C1516">
        <v>109929.60000000001</v>
      </c>
      <c r="D1516">
        <v>9.0619451121171295</v>
      </c>
      <c r="E1516">
        <v>213</v>
      </c>
      <c r="F1516" t="s">
        <v>158</v>
      </c>
    </row>
    <row r="1517" spans="1:6" x14ac:dyDescent="0.2">
      <c r="A1517" t="s">
        <v>8</v>
      </c>
      <c r="B1517">
        <v>6867.9359081209896</v>
      </c>
      <c r="C1517">
        <v>60571.18</v>
      </c>
      <c r="D1517">
        <v>9.2432260270595492</v>
      </c>
      <c r="E1517">
        <v>213</v>
      </c>
      <c r="F1517" t="s">
        <v>158</v>
      </c>
    </row>
    <row r="1518" spans="1:6" x14ac:dyDescent="0.2">
      <c r="A1518" t="s">
        <v>11</v>
      </c>
      <c r="B1518">
        <v>7196.9715906538804</v>
      </c>
      <c r="C1518">
        <v>146823.20000000001</v>
      </c>
      <c r="D1518">
        <v>9.6329748367945296</v>
      </c>
      <c r="E1518">
        <v>213</v>
      </c>
      <c r="F1518" t="s">
        <v>158</v>
      </c>
    </row>
    <row r="1519" spans="1:6" x14ac:dyDescent="0.2">
      <c r="A1519" t="s">
        <v>10</v>
      </c>
      <c r="B1519">
        <v>7979.0205420380598</v>
      </c>
      <c r="C1519">
        <v>80987.45</v>
      </c>
      <c r="D1519">
        <v>10.1407615458647</v>
      </c>
      <c r="E1519">
        <v>214</v>
      </c>
      <c r="F1519" t="s">
        <v>159</v>
      </c>
    </row>
    <row r="1520" spans="1:6" x14ac:dyDescent="0.2">
      <c r="A1520" t="s">
        <v>11</v>
      </c>
      <c r="B1520">
        <v>8324.0786651550006</v>
      </c>
      <c r="C1520">
        <v>144425.87</v>
      </c>
      <c r="D1520">
        <v>10.3221977448146</v>
      </c>
      <c r="E1520">
        <v>214</v>
      </c>
      <c r="F1520" t="s">
        <v>159</v>
      </c>
    </row>
    <row r="1521" spans="1:6" x14ac:dyDescent="0.2">
      <c r="A1521" t="s">
        <v>9</v>
      </c>
      <c r="B1521">
        <v>8630.1220274680109</v>
      </c>
      <c r="C1521">
        <v>115664.14</v>
      </c>
      <c r="D1521">
        <v>10.4673234378974</v>
      </c>
      <c r="E1521">
        <v>214</v>
      </c>
      <c r="F1521" t="s">
        <v>159</v>
      </c>
    </row>
    <row r="1522" spans="1:6" x14ac:dyDescent="0.2">
      <c r="A1522" t="s">
        <v>10</v>
      </c>
      <c r="B1522">
        <v>8975.1238508306105</v>
      </c>
      <c r="C1522">
        <v>79650.69</v>
      </c>
      <c r="D1522">
        <v>10.6487744962851</v>
      </c>
      <c r="E1522">
        <v>214</v>
      </c>
      <c r="F1522" t="s">
        <v>159</v>
      </c>
    </row>
    <row r="1523" spans="1:6" x14ac:dyDescent="0.2">
      <c r="A1523" t="s">
        <v>9</v>
      </c>
      <c r="B1523">
        <v>9281.2048244445796</v>
      </c>
      <c r="C1523">
        <v>102957.67</v>
      </c>
      <c r="D1523">
        <v>10.8302426771005</v>
      </c>
      <c r="E1523">
        <v>214</v>
      </c>
      <c r="F1523" t="s">
        <v>159</v>
      </c>
    </row>
    <row r="1524" spans="1:6" x14ac:dyDescent="0.2">
      <c r="A1524" t="s">
        <v>6</v>
      </c>
      <c r="B1524">
        <v>9586.2362310757508</v>
      </c>
      <c r="C1524">
        <v>37294.36</v>
      </c>
      <c r="D1524">
        <v>10.920996711222299</v>
      </c>
      <c r="E1524">
        <v>214</v>
      </c>
      <c r="F1524" t="s">
        <v>159</v>
      </c>
    </row>
    <row r="1525" spans="1:6" x14ac:dyDescent="0.2">
      <c r="A1525" t="s">
        <v>8</v>
      </c>
      <c r="B1525">
        <v>9915.2496227272495</v>
      </c>
      <c r="C1525">
        <v>36475.24</v>
      </c>
      <c r="D1525">
        <v>11.129719878800699</v>
      </c>
      <c r="E1525">
        <v>214</v>
      </c>
      <c r="F1525" t="s">
        <v>159</v>
      </c>
    </row>
    <row r="1526" spans="1:6" x14ac:dyDescent="0.2">
      <c r="A1526" t="s">
        <v>11</v>
      </c>
      <c r="B1526">
        <v>1992.3290880995</v>
      </c>
      <c r="C1526">
        <v>142149.94</v>
      </c>
      <c r="D1526">
        <v>1.8915003275553399</v>
      </c>
      <c r="E1526">
        <v>217</v>
      </c>
      <c r="F1526" t="s">
        <v>160</v>
      </c>
    </row>
    <row r="1527" spans="1:6" x14ac:dyDescent="0.2">
      <c r="A1527" t="s">
        <v>8</v>
      </c>
      <c r="B1527">
        <v>2321.3802632941902</v>
      </c>
      <c r="C1527">
        <v>97016.71</v>
      </c>
      <c r="D1527">
        <v>3.4500159120241798</v>
      </c>
      <c r="E1527">
        <v>217</v>
      </c>
      <c r="F1527" t="s">
        <v>160</v>
      </c>
    </row>
    <row r="1528" spans="1:6" x14ac:dyDescent="0.2">
      <c r="A1528" t="s">
        <v>8</v>
      </c>
      <c r="B1528">
        <v>2650.43297265195</v>
      </c>
      <c r="C1528">
        <v>125682.29</v>
      </c>
      <c r="D1528">
        <v>4.8010087624867799</v>
      </c>
      <c r="E1528">
        <v>217</v>
      </c>
      <c r="F1528" t="s">
        <v>160</v>
      </c>
    </row>
    <row r="1529" spans="1:6" x14ac:dyDescent="0.2">
      <c r="A1529" t="s">
        <v>8</v>
      </c>
      <c r="B1529">
        <v>2979.4851052417098</v>
      </c>
      <c r="C1529">
        <v>82796.47</v>
      </c>
      <c r="D1529">
        <v>5.9398688292185504</v>
      </c>
      <c r="E1529">
        <v>217</v>
      </c>
      <c r="F1529" t="s">
        <v>160</v>
      </c>
    </row>
    <row r="1530" spans="1:6" x14ac:dyDescent="0.2">
      <c r="A1530" t="s">
        <v>8</v>
      </c>
      <c r="B1530">
        <v>3308.5402081634502</v>
      </c>
      <c r="C1530">
        <v>41816.620000000003</v>
      </c>
      <c r="D1530">
        <v>6.8711072182337398</v>
      </c>
      <c r="E1530">
        <v>217</v>
      </c>
      <c r="F1530" t="s">
        <v>160</v>
      </c>
    </row>
    <row r="1531" spans="1:6" x14ac:dyDescent="0.2">
      <c r="A1531" t="s">
        <v>8</v>
      </c>
      <c r="B1531">
        <v>3637.5956478802</v>
      </c>
      <c r="C1531">
        <v>35762.19</v>
      </c>
      <c r="D1531">
        <v>7.6490736877600298</v>
      </c>
      <c r="E1531">
        <v>217</v>
      </c>
      <c r="F1531" t="s">
        <v>160</v>
      </c>
    </row>
    <row r="1532" spans="1:6" x14ac:dyDescent="0.2">
      <c r="A1532" t="s">
        <v>6</v>
      </c>
      <c r="B1532">
        <v>7582.9567317465398</v>
      </c>
      <c r="C1532">
        <v>48869.86</v>
      </c>
      <c r="D1532">
        <v>10.1090243613402</v>
      </c>
      <c r="E1532">
        <v>218</v>
      </c>
      <c r="F1532" t="s">
        <v>161</v>
      </c>
    </row>
    <row r="1533" spans="1:6" x14ac:dyDescent="0.2">
      <c r="A1533" t="s">
        <v>8</v>
      </c>
      <c r="B1533">
        <v>7888.0295840051904</v>
      </c>
      <c r="C1533">
        <v>45294.45</v>
      </c>
      <c r="D1533">
        <v>10.258681902853599</v>
      </c>
      <c r="E1533">
        <v>218</v>
      </c>
      <c r="F1533" t="s">
        <v>161</v>
      </c>
    </row>
    <row r="1534" spans="1:6" x14ac:dyDescent="0.2">
      <c r="A1534" t="s">
        <v>6</v>
      </c>
      <c r="B1534">
        <v>8217.1004640431802</v>
      </c>
      <c r="C1534">
        <v>30716.79</v>
      </c>
      <c r="D1534">
        <v>10.558054118919401</v>
      </c>
      <c r="E1534">
        <v>218</v>
      </c>
      <c r="F1534" t="s">
        <v>161</v>
      </c>
    </row>
    <row r="1535" spans="1:6" x14ac:dyDescent="0.2">
      <c r="A1535" t="s">
        <v>9</v>
      </c>
      <c r="B1535">
        <v>8522.1397812199993</v>
      </c>
      <c r="C1535">
        <v>98229.38</v>
      </c>
      <c r="D1535">
        <v>10.6487744962851</v>
      </c>
      <c r="E1535">
        <v>218</v>
      </c>
      <c r="F1535" t="s">
        <v>161</v>
      </c>
    </row>
    <row r="1536" spans="1:6" x14ac:dyDescent="0.2">
      <c r="A1536" t="s">
        <v>11</v>
      </c>
      <c r="B1536">
        <v>8828.1803749147402</v>
      </c>
      <c r="C1536">
        <v>142027.31</v>
      </c>
      <c r="D1536">
        <v>10.8030253108025</v>
      </c>
      <c r="E1536">
        <v>218</v>
      </c>
      <c r="F1536" t="s">
        <v>161</v>
      </c>
    </row>
    <row r="1537" spans="1:6" x14ac:dyDescent="0.2">
      <c r="A1537" t="s">
        <v>8</v>
      </c>
      <c r="B1537">
        <v>9157.2135457643999</v>
      </c>
      <c r="C1537">
        <v>95412.39</v>
      </c>
      <c r="D1537">
        <v>11.038978453048101</v>
      </c>
      <c r="E1537">
        <v>218</v>
      </c>
      <c r="F1537" t="s">
        <v>161</v>
      </c>
    </row>
    <row r="1538" spans="1:6" x14ac:dyDescent="0.2">
      <c r="A1538" t="s">
        <v>8</v>
      </c>
      <c r="B1538">
        <v>3296.33845137457</v>
      </c>
      <c r="C1538">
        <v>59700.12</v>
      </c>
      <c r="D1538">
        <v>3.4816359932899501</v>
      </c>
      <c r="E1538">
        <v>220</v>
      </c>
      <c r="F1538" t="s">
        <v>162</v>
      </c>
    </row>
    <row r="1539" spans="1:6" x14ac:dyDescent="0.2">
      <c r="A1539" t="s">
        <v>10</v>
      </c>
      <c r="B1539">
        <v>3625.3904524515001</v>
      </c>
      <c r="C1539">
        <v>103304.6</v>
      </c>
      <c r="D1539">
        <v>4.8281210438092499</v>
      </c>
      <c r="E1539">
        <v>220</v>
      </c>
      <c r="F1539" t="s">
        <v>162</v>
      </c>
    </row>
    <row r="1540" spans="1:6" x14ac:dyDescent="0.2">
      <c r="A1540" t="s">
        <v>6</v>
      </c>
      <c r="B1540">
        <v>3970.44342581315</v>
      </c>
      <c r="C1540">
        <v>45819.63</v>
      </c>
      <c r="D1540">
        <v>5.5195398366133404</v>
      </c>
      <c r="E1540">
        <v>220</v>
      </c>
      <c r="F1540" t="s">
        <v>162</v>
      </c>
    </row>
    <row r="1541" spans="1:6" x14ac:dyDescent="0.2">
      <c r="A1541" t="s">
        <v>10</v>
      </c>
      <c r="B1541">
        <v>4275.4803786488301</v>
      </c>
      <c r="C1541">
        <v>53705.95</v>
      </c>
      <c r="D1541">
        <v>6.0302656864801998</v>
      </c>
      <c r="E1541">
        <v>220</v>
      </c>
      <c r="F1541" t="s">
        <v>162</v>
      </c>
    </row>
    <row r="1542" spans="1:6" x14ac:dyDescent="0.2">
      <c r="A1542" t="s">
        <v>9</v>
      </c>
      <c r="B1542">
        <v>4620.5321424285303</v>
      </c>
      <c r="C1542">
        <v>39142.269999999997</v>
      </c>
      <c r="D1542">
        <v>6.6269811943848902</v>
      </c>
      <c r="E1542">
        <v>220</v>
      </c>
      <c r="F1542" t="s">
        <v>162</v>
      </c>
    </row>
    <row r="1543" spans="1:6" x14ac:dyDescent="0.2">
      <c r="A1543" t="s">
        <v>9</v>
      </c>
      <c r="B1543">
        <v>4926.5705078061801</v>
      </c>
      <c r="C1543">
        <v>137181.04999999999</v>
      </c>
      <c r="D1543">
        <v>7.0203313028494501</v>
      </c>
      <c r="E1543">
        <v>220</v>
      </c>
      <c r="F1543" t="s">
        <v>162</v>
      </c>
    </row>
    <row r="1544" spans="1:6" x14ac:dyDescent="0.2">
      <c r="A1544" t="s">
        <v>11</v>
      </c>
      <c r="B1544">
        <v>5232.6001623021903</v>
      </c>
      <c r="C1544">
        <v>141214.56</v>
      </c>
      <c r="D1544">
        <v>7.4093134279727897</v>
      </c>
      <c r="E1544">
        <v>220</v>
      </c>
      <c r="F1544" t="s">
        <v>162</v>
      </c>
    </row>
    <row r="1545" spans="1:6" x14ac:dyDescent="0.2">
      <c r="A1545" t="s">
        <v>8</v>
      </c>
      <c r="B1545">
        <v>5561.6543096845899</v>
      </c>
      <c r="C1545">
        <v>100319.35</v>
      </c>
      <c r="D1545">
        <v>8.0699638203461994</v>
      </c>
      <c r="E1545">
        <v>220</v>
      </c>
      <c r="F1545" t="s">
        <v>162</v>
      </c>
    </row>
    <row r="1546" spans="1:6" x14ac:dyDescent="0.2">
      <c r="A1546" t="s">
        <v>8</v>
      </c>
      <c r="B1546">
        <v>5890.71968208218</v>
      </c>
      <c r="C1546">
        <v>117569.69</v>
      </c>
      <c r="D1546">
        <v>8.5182196116129596</v>
      </c>
      <c r="E1546">
        <v>220</v>
      </c>
      <c r="F1546" t="s">
        <v>162</v>
      </c>
    </row>
    <row r="1547" spans="1:6" x14ac:dyDescent="0.2">
      <c r="A1547" t="s">
        <v>6</v>
      </c>
      <c r="B1547">
        <v>6195.7573547483898</v>
      </c>
      <c r="C1547">
        <v>38308.519999999997</v>
      </c>
      <c r="D1547">
        <v>8.8806360796769503</v>
      </c>
      <c r="E1547">
        <v>220</v>
      </c>
      <c r="F1547" t="s">
        <v>162</v>
      </c>
    </row>
    <row r="1548" spans="1:6" x14ac:dyDescent="0.2">
      <c r="A1548" t="s">
        <v>10</v>
      </c>
      <c r="B1548">
        <v>6540.82810541045</v>
      </c>
      <c r="C1548">
        <v>37452.54</v>
      </c>
      <c r="D1548">
        <v>8.9984834865411099</v>
      </c>
      <c r="E1548">
        <v>220</v>
      </c>
      <c r="F1548" t="s">
        <v>162</v>
      </c>
    </row>
    <row r="1549" spans="1:6" x14ac:dyDescent="0.2">
      <c r="A1549" t="s">
        <v>10</v>
      </c>
      <c r="B1549">
        <v>6885.8597329650702</v>
      </c>
      <c r="C1549">
        <v>51775.08</v>
      </c>
      <c r="D1549">
        <v>9.2432260270595492</v>
      </c>
      <c r="E1549">
        <v>220</v>
      </c>
      <c r="F1549" t="s">
        <v>162</v>
      </c>
    </row>
    <row r="1550" spans="1:6" x14ac:dyDescent="0.2">
      <c r="A1550" t="s">
        <v>10</v>
      </c>
      <c r="B1550">
        <v>7230.8823422940504</v>
      </c>
      <c r="C1550">
        <v>29161.88</v>
      </c>
      <c r="D1550">
        <v>9.5695250208854699</v>
      </c>
      <c r="E1550">
        <v>220</v>
      </c>
      <c r="F1550" t="s">
        <v>162</v>
      </c>
    </row>
    <row r="1551" spans="1:6" x14ac:dyDescent="0.2">
      <c r="A1551" t="s">
        <v>10</v>
      </c>
      <c r="B1551">
        <v>3828.45685949156</v>
      </c>
      <c r="C1551">
        <v>89330.17</v>
      </c>
      <c r="D1551">
        <v>4.9184974447568299</v>
      </c>
      <c r="E1551">
        <v>228</v>
      </c>
      <c r="F1551" t="s">
        <v>163</v>
      </c>
    </row>
    <row r="1552" spans="1:6" x14ac:dyDescent="0.2">
      <c r="A1552" t="s">
        <v>10</v>
      </c>
      <c r="B1552">
        <v>4173.4985156392904</v>
      </c>
      <c r="C1552">
        <v>90672.6</v>
      </c>
      <c r="D1552">
        <v>5.5195398366133404</v>
      </c>
      <c r="E1552">
        <v>228</v>
      </c>
      <c r="F1552" t="s">
        <v>163</v>
      </c>
    </row>
    <row r="1553" spans="1:6" x14ac:dyDescent="0.2">
      <c r="A1553" t="s">
        <v>9</v>
      </c>
      <c r="B1553">
        <v>4518.5505437490501</v>
      </c>
      <c r="C1553">
        <v>85954.72</v>
      </c>
      <c r="D1553">
        <v>6.0302656864801998</v>
      </c>
      <c r="E1553">
        <v>228</v>
      </c>
      <c r="F1553" t="s">
        <v>163</v>
      </c>
    </row>
    <row r="1554" spans="1:6" x14ac:dyDescent="0.2">
      <c r="A1554" t="s">
        <v>10</v>
      </c>
      <c r="B1554">
        <v>4824.5686669687002</v>
      </c>
      <c r="C1554">
        <v>71699.66</v>
      </c>
      <c r="D1554">
        <v>6.5410850778897602</v>
      </c>
      <c r="E1554">
        <v>228</v>
      </c>
      <c r="F1554" t="s">
        <v>163</v>
      </c>
    </row>
    <row r="1555" spans="1:6" x14ac:dyDescent="0.2">
      <c r="A1555" t="s">
        <v>6</v>
      </c>
      <c r="B1555">
        <v>5169.6125640508099</v>
      </c>
      <c r="C1555">
        <v>34483.279999999999</v>
      </c>
      <c r="D1555">
        <v>7.1424336369514503</v>
      </c>
      <c r="E1555">
        <v>228</v>
      </c>
      <c r="F1555" t="s">
        <v>163</v>
      </c>
    </row>
    <row r="1556" spans="1:6" x14ac:dyDescent="0.2">
      <c r="A1556" t="s">
        <v>8</v>
      </c>
      <c r="B1556">
        <v>5474.6358868484303</v>
      </c>
      <c r="C1556">
        <v>66429.8</v>
      </c>
      <c r="D1556">
        <v>7.3504987692515096</v>
      </c>
      <c r="E1556">
        <v>228</v>
      </c>
      <c r="F1556" t="s">
        <v>163</v>
      </c>
    </row>
    <row r="1557" spans="1:6" x14ac:dyDescent="0.2">
      <c r="A1557" t="s">
        <v>11</v>
      </c>
      <c r="B1557">
        <v>5803.7148960966297</v>
      </c>
      <c r="C1557">
        <v>135434.64000000001</v>
      </c>
      <c r="D1557">
        <v>7.9205819860776296</v>
      </c>
      <c r="E1557">
        <v>228</v>
      </c>
      <c r="F1557" t="s">
        <v>163</v>
      </c>
    </row>
    <row r="1558" spans="1:6" x14ac:dyDescent="0.2">
      <c r="A1558" t="s">
        <v>6</v>
      </c>
      <c r="B1558">
        <v>6108.7219037942295</v>
      </c>
      <c r="C1558">
        <v>13923.26</v>
      </c>
      <c r="D1558">
        <v>8.1288176512400305</v>
      </c>
      <c r="E1558">
        <v>228</v>
      </c>
      <c r="F1558" t="s">
        <v>163</v>
      </c>
    </row>
    <row r="1559" spans="1:6" x14ac:dyDescent="0.2">
      <c r="A1559" t="s">
        <v>8</v>
      </c>
      <c r="B1559">
        <v>6437.7838985795697</v>
      </c>
      <c r="C1559">
        <v>26438.560000000001</v>
      </c>
      <c r="D1559">
        <v>8.6993728454589796</v>
      </c>
      <c r="E1559">
        <v>228</v>
      </c>
      <c r="F1559" t="s">
        <v>163</v>
      </c>
    </row>
    <row r="1560" spans="1:6" x14ac:dyDescent="0.2">
      <c r="A1560" t="s">
        <v>9</v>
      </c>
      <c r="B1560">
        <v>6743.8157625397498</v>
      </c>
      <c r="C1560">
        <v>12237.96</v>
      </c>
      <c r="D1560">
        <v>8.9712946947097798</v>
      </c>
      <c r="E1560">
        <v>228</v>
      </c>
      <c r="F1560" t="s">
        <v>163</v>
      </c>
    </row>
    <row r="1561" spans="1:6" x14ac:dyDescent="0.2">
      <c r="A1561" t="s">
        <v>11</v>
      </c>
      <c r="B1561">
        <v>8285.04503356446</v>
      </c>
      <c r="C1561">
        <v>133978.1</v>
      </c>
      <c r="D1561">
        <v>10.3494007126172</v>
      </c>
      <c r="E1561">
        <v>230</v>
      </c>
      <c r="F1561" t="s">
        <v>164</v>
      </c>
    </row>
    <row r="1562" spans="1:6" x14ac:dyDescent="0.2">
      <c r="A1562" t="s">
        <v>9</v>
      </c>
      <c r="B1562">
        <v>8591.1034072930706</v>
      </c>
      <c r="C1562">
        <v>97544.76</v>
      </c>
      <c r="D1562">
        <v>10.5898025528272</v>
      </c>
      <c r="E1562">
        <v>230</v>
      </c>
      <c r="F1562" t="s">
        <v>164</v>
      </c>
    </row>
    <row r="1563" spans="1:6" x14ac:dyDescent="0.2">
      <c r="A1563" t="s">
        <v>6</v>
      </c>
      <c r="B1563">
        <v>8896.1093812509898</v>
      </c>
      <c r="C1563">
        <v>43546.14</v>
      </c>
      <c r="D1563">
        <v>10.712296018568701</v>
      </c>
      <c r="E1563">
        <v>230</v>
      </c>
      <c r="F1563" t="s">
        <v>164</v>
      </c>
    </row>
    <row r="1564" spans="1:6" x14ac:dyDescent="0.2">
      <c r="A1564" t="s">
        <v>9</v>
      </c>
      <c r="B1564">
        <v>9202.1684366481095</v>
      </c>
      <c r="C1564">
        <v>23710.12</v>
      </c>
      <c r="D1564">
        <v>10.7395170028687</v>
      </c>
      <c r="E1564">
        <v>230</v>
      </c>
      <c r="F1564" t="s">
        <v>164</v>
      </c>
    </row>
    <row r="1565" spans="1:6" x14ac:dyDescent="0.2">
      <c r="A1565" t="s">
        <v>6</v>
      </c>
      <c r="B1565">
        <v>9507.2011681011409</v>
      </c>
      <c r="C1565">
        <v>15404.53</v>
      </c>
      <c r="D1565">
        <v>10.920996711222299</v>
      </c>
      <c r="E1565">
        <v>230</v>
      </c>
      <c r="F1565" t="s">
        <v>164</v>
      </c>
    </row>
    <row r="1566" spans="1:6" x14ac:dyDescent="0.2">
      <c r="A1566" t="s">
        <v>9</v>
      </c>
      <c r="B1566">
        <v>9813.3009246024394</v>
      </c>
      <c r="C1566">
        <v>30600.99</v>
      </c>
      <c r="D1566">
        <v>11.4608730450948</v>
      </c>
      <c r="E1566">
        <v>230</v>
      </c>
      <c r="F1566" t="s">
        <v>164</v>
      </c>
    </row>
    <row r="1567" spans="1:6" x14ac:dyDescent="0.2">
      <c r="A1567" t="s">
        <v>8</v>
      </c>
      <c r="B1567">
        <v>9037.1714330400991</v>
      </c>
      <c r="C1567">
        <v>44636.97</v>
      </c>
      <c r="D1567">
        <v>10.8892314946334</v>
      </c>
      <c r="E1567">
        <v>232</v>
      </c>
      <c r="F1567" t="s">
        <v>165</v>
      </c>
    </row>
    <row r="1568" spans="1:6" x14ac:dyDescent="0.2">
      <c r="A1568" t="s">
        <v>8</v>
      </c>
      <c r="B1568">
        <v>9366.2270656647597</v>
      </c>
      <c r="C1568">
        <v>128205.94</v>
      </c>
      <c r="D1568">
        <v>11.1569425598462</v>
      </c>
      <c r="E1568">
        <v>232</v>
      </c>
      <c r="F1568" t="s">
        <v>165</v>
      </c>
    </row>
    <row r="1569" spans="1:6" x14ac:dyDescent="0.2">
      <c r="A1569" t="s">
        <v>10</v>
      </c>
      <c r="B1569">
        <v>9695.3041185973598</v>
      </c>
      <c r="C1569">
        <v>96647.67</v>
      </c>
      <c r="D1569">
        <v>11.492626493740101</v>
      </c>
      <c r="E1569">
        <v>232</v>
      </c>
      <c r="F1569" t="s">
        <v>165</v>
      </c>
    </row>
    <row r="1570" spans="1:6" x14ac:dyDescent="0.2">
      <c r="A1570" t="s">
        <v>11</v>
      </c>
      <c r="B1570">
        <v>10040.342068618</v>
      </c>
      <c r="C1570">
        <v>133349.48000000001</v>
      </c>
      <c r="D1570">
        <v>11.637894735304499</v>
      </c>
      <c r="E1570">
        <v>232</v>
      </c>
      <c r="F1570" t="s">
        <v>165</v>
      </c>
    </row>
    <row r="1571" spans="1:6" x14ac:dyDescent="0.2">
      <c r="A1571" t="s">
        <v>8</v>
      </c>
      <c r="B1571">
        <v>10369.3656932085</v>
      </c>
      <c r="C1571">
        <v>107216.24</v>
      </c>
      <c r="D1571">
        <v>11.819539492893201</v>
      </c>
      <c r="E1571">
        <v>232</v>
      </c>
      <c r="F1571" t="s">
        <v>165</v>
      </c>
    </row>
    <row r="1572" spans="1:6" x14ac:dyDescent="0.2">
      <c r="A1572" t="s">
        <v>6</v>
      </c>
      <c r="B1572">
        <v>10674.409271492201</v>
      </c>
      <c r="C1572">
        <v>80184.460000000006</v>
      </c>
      <c r="D1572">
        <v>11.8467902874629</v>
      </c>
      <c r="E1572">
        <v>232</v>
      </c>
      <c r="F1572" t="s">
        <v>165</v>
      </c>
    </row>
    <row r="1573" spans="1:6" x14ac:dyDescent="0.2">
      <c r="A1573" t="s">
        <v>10</v>
      </c>
      <c r="B1573">
        <v>11019.4624199258</v>
      </c>
      <c r="C1573">
        <v>22492.45</v>
      </c>
      <c r="D1573">
        <v>12.001149969863899</v>
      </c>
      <c r="E1573">
        <v>232</v>
      </c>
      <c r="F1573" t="s">
        <v>165</v>
      </c>
    </row>
    <row r="1574" spans="1:6" x14ac:dyDescent="0.2">
      <c r="A1574" t="s">
        <v>9</v>
      </c>
      <c r="B1574">
        <v>11325.5159080413</v>
      </c>
      <c r="C1574">
        <v>28606.14</v>
      </c>
      <c r="D1574">
        <v>12.091964961655901</v>
      </c>
      <c r="E1574">
        <v>232</v>
      </c>
      <c r="F1574" t="s">
        <v>165</v>
      </c>
    </row>
    <row r="1575" spans="1:6" x14ac:dyDescent="0.2">
      <c r="A1575" t="s">
        <v>9</v>
      </c>
      <c r="B1575">
        <v>11631.520464755</v>
      </c>
      <c r="C1575">
        <v>72309.47</v>
      </c>
      <c r="D1575">
        <v>12.1464402790546</v>
      </c>
      <c r="E1575">
        <v>232</v>
      </c>
      <c r="F1575" t="s">
        <v>165</v>
      </c>
    </row>
    <row r="1576" spans="1:6" x14ac:dyDescent="0.2">
      <c r="A1576" t="s">
        <v>9</v>
      </c>
      <c r="B1576">
        <v>11937.592665326199</v>
      </c>
      <c r="C1576">
        <v>112068.47</v>
      </c>
      <c r="D1576">
        <v>12.3008609687964</v>
      </c>
      <c r="E1576">
        <v>232</v>
      </c>
      <c r="F1576" t="s">
        <v>165</v>
      </c>
    </row>
    <row r="1577" spans="1:6" x14ac:dyDescent="0.2">
      <c r="A1577" t="s">
        <v>9</v>
      </c>
      <c r="B1577">
        <v>12243.596181901399</v>
      </c>
      <c r="C1577">
        <v>114828.53</v>
      </c>
      <c r="D1577">
        <v>12.359888378349901</v>
      </c>
      <c r="E1577">
        <v>232</v>
      </c>
      <c r="F1577" t="s">
        <v>165</v>
      </c>
    </row>
    <row r="1578" spans="1:6" x14ac:dyDescent="0.2">
      <c r="A1578" t="s">
        <v>6</v>
      </c>
      <c r="B1578">
        <v>12548.659727975601</v>
      </c>
      <c r="C1578">
        <v>48357.14</v>
      </c>
      <c r="D1578">
        <v>12.3916607196808</v>
      </c>
      <c r="E1578">
        <v>232</v>
      </c>
      <c r="F1578" t="s">
        <v>165</v>
      </c>
    </row>
    <row r="1579" spans="1:6" x14ac:dyDescent="0.2">
      <c r="A1579" t="s">
        <v>6</v>
      </c>
      <c r="B1579">
        <v>12853.6650535673</v>
      </c>
      <c r="C1579">
        <v>17063.240000000002</v>
      </c>
      <c r="D1579">
        <v>12.3281024610678</v>
      </c>
      <c r="E1579">
        <v>232</v>
      </c>
      <c r="F1579" t="s">
        <v>165</v>
      </c>
    </row>
    <row r="1580" spans="1:6" x14ac:dyDescent="0.2">
      <c r="A1580" t="s">
        <v>9</v>
      </c>
      <c r="B1580">
        <v>3004.4094703219298</v>
      </c>
      <c r="C1580">
        <v>19670.650000000001</v>
      </c>
      <c r="D1580">
        <v>1.32228308674494</v>
      </c>
      <c r="E1580">
        <v>235</v>
      </c>
      <c r="F1580" t="s">
        <v>166</v>
      </c>
    </row>
    <row r="1581" spans="1:6" x14ac:dyDescent="0.2">
      <c r="A1581" t="s">
        <v>9</v>
      </c>
      <c r="B1581">
        <v>3310.4403318740601</v>
      </c>
      <c r="C1581">
        <v>32465.08</v>
      </c>
      <c r="D1581">
        <v>2.39745846149127</v>
      </c>
      <c r="E1581">
        <v>235</v>
      </c>
      <c r="F1581" t="s">
        <v>166</v>
      </c>
    </row>
    <row r="1582" spans="1:6" x14ac:dyDescent="0.2">
      <c r="A1582" t="s">
        <v>6</v>
      </c>
      <c r="B1582">
        <v>3616.4619040130901</v>
      </c>
      <c r="C1582">
        <v>118204.57</v>
      </c>
      <c r="D1582">
        <v>3.7527103777408599</v>
      </c>
      <c r="E1582">
        <v>235</v>
      </c>
      <c r="F1582" t="s">
        <v>166</v>
      </c>
    </row>
    <row r="1583" spans="1:6" x14ac:dyDescent="0.2">
      <c r="A1583" t="s">
        <v>8</v>
      </c>
      <c r="B1583">
        <v>3921.5032787258601</v>
      </c>
      <c r="C1583">
        <v>43363.25</v>
      </c>
      <c r="D1583">
        <v>4.4123856361389198</v>
      </c>
      <c r="E1583">
        <v>235</v>
      </c>
      <c r="F1583" t="s">
        <v>166</v>
      </c>
    </row>
    <row r="1584" spans="1:6" x14ac:dyDescent="0.2">
      <c r="A1584" t="s">
        <v>6</v>
      </c>
      <c r="B1584">
        <v>4250.5636807725996</v>
      </c>
      <c r="C1584">
        <v>25182.35</v>
      </c>
      <c r="D1584">
        <v>5.5511773522377004</v>
      </c>
      <c r="E1584">
        <v>235</v>
      </c>
      <c r="F1584" t="s">
        <v>166</v>
      </c>
    </row>
    <row r="1585" spans="1:6" x14ac:dyDescent="0.2">
      <c r="A1585" t="s">
        <v>10</v>
      </c>
      <c r="B1585">
        <v>4555.6004603772499</v>
      </c>
      <c r="C1585">
        <v>99776.82</v>
      </c>
      <c r="D1585">
        <v>5.9398688292185504</v>
      </c>
      <c r="E1585">
        <v>235</v>
      </c>
      <c r="F1585" t="s">
        <v>166</v>
      </c>
    </row>
    <row r="1586" spans="1:6" x14ac:dyDescent="0.2">
      <c r="A1586" t="s">
        <v>8</v>
      </c>
      <c r="B1586">
        <v>4900.6374563124</v>
      </c>
      <c r="C1586">
        <v>119690.93</v>
      </c>
      <c r="D1586">
        <v>6.4823198870499903</v>
      </c>
      <c r="E1586">
        <v>235</v>
      </c>
      <c r="F1586" t="s">
        <v>166</v>
      </c>
    </row>
    <row r="1587" spans="1:6" x14ac:dyDescent="0.2">
      <c r="A1587" t="s">
        <v>9</v>
      </c>
      <c r="B1587">
        <v>5229.6487809636301</v>
      </c>
      <c r="C1587">
        <v>21590.25</v>
      </c>
      <c r="D1587">
        <v>6.9886735196590397</v>
      </c>
      <c r="E1587">
        <v>235</v>
      </c>
      <c r="F1587" t="s">
        <v>166</v>
      </c>
    </row>
    <row r="1588" spans="1:6" x14ac:dyDescent="0.2">
      <c r="A1588" t="s">
        <v>9</v>
      </c>
      <c r="B1588">
        <v>5535.6996385257098</v>
      </c>
      <c r="C1588">
        <v>52554.9</v>
      </c>
      <c r="D1588">
        <v>7.4409768875122104</v>
      </c>
      <c r="E1588">
        <v>235</v>
      </c>
      <c r="F1588" t="s">
        <v>166</v>
      </c>
    </row>
    <row r="1589" spans="1:6" x14ac:dyDescent="0.2">
      <c r="A1589" t="s">
        <v>8</v>
      </c>
      <c r="B1589">
        <v>5841.7376760440702</v>
      </c>
      <c r="C1589">
        <v>28809.94</v>
      </c>
      <c r="D1589">
        <v>7.7667061543146803</v>
      </c>
      <c r="E1589">
        <v>235</v>
      </c>
      <c r="F1589" t="s">
        <v>166</v>
      </c>
    </row>
    <row r="1590" spans="1:6" x14ac:dyDescent="0.2">
      <c r="A1590" t="s">
        <v>11</v>
      </c>
      <c r="B1590">
        <v>6170.7927021892401</v>
      </c>
      <c r="C1590">
        <v>131119.99</v>
      </c>
      <c r="D1590">
        <v>8.3099201039155304</v>
      </c>
      <c r="E1590">
        <v>235</v>
      </c>
      <c r="F1590" t="s">
        <v>166</v>
      </c>
    </row>
    <row r="1591" spans="1:6" x14ac:dyDescent="0.2">
      <c r="A1591" t="s">
        <v>11</v>
      </c>
      <c r="B1591">
        <v>8060.0800614727104</v>
      </c>
      <c r="C1591">
        <v>129276.38</v>
      </c>
      <c r="D1591">
        <v>10.4673234378974</v>
      </c>
      <c r="E1591">
        <v>241</v>
      </c>
      <c r="F1591" t="s">
        <v>167</v>
      </c>
    </row>
    <row r="1592" spans="1:6" x14ac:dyDescent="0.2">
      <c r="A1592" t="s">
        <v>6</v>
      </c>
      <c r="B1592">
        <v>8365.1050757078301</v>
      </c>
      <c r="C1592">
        <v>126484.12</v>
      </c>
      <c r="D1592">
        <v>10.6215575611273</v>
      </c>
      <c r="E1592">
        <v>241</v>
      </c>
      <c r="F1592" t="s">
        <v>167</v>
      </c>
    </row>
    <row r="1593" spans="1:6" x14ac:dyDescent="0.2">
      <c r="A1593" t="s">
        <v>9</v>
      </c>
      <c r="B1593">
        <v>8671.1272021360091</v>
      </c>
      <c r="C1593">
        <v>122900.97</v>
      </c>
      <c r="D1593">
        <v>10.7395170028687</v>
      </c>
      <c r="E1593">
        <v>241</v>
      </c>
      <c r="F1593" t="s">
        <v>167</v>
      </c>
    </row>
    <row r="1594" spans="1:6" x14ac:dyDescent="0.2">
      <c r="A1594" t="s">
        <v>9</v>
      </c>
      <c r="B1594">
        <v>8977.1568124776295</v>
      </c>
      <c r="C1594">
        <v>67537.03</v>
      </c>
      <c r="D1594">
        <v>10.8302426771005</v>
      </c>
      <c r="E1594">
        <v>241</v>
      </c>
      <c r="F1594" t="s">
        <v>167</v>
      </c>
    </row>
    <row r="1595" spans="1:6" x14ac:dyDescent="0.2">
      <c r="A1595" t="s">
        <v>8</v>
      </c>
      <c r="B1595">
        <v>9306.2120292730997</v>
      </c>
      <c r="C1595">
        <v>59704.92</v>
      </c>
      <c r="D1595">
        <v>10.9799767946879</v>
      </c>
      <c r="E1595">
        <v>241</v>
      </c>
      <c r="F1595" t="s">
        <v>167</v>
      </c>
    </row>
    <row r="1596" spans="1:6" x14ac:dyDescent="0.2">
      <c r="A1596" t="s">
        <v>8</v>
      </c>
      <c r="B1596">
        <v>7786.9997963021597</v>
      </c>
      <c r="C1596">
        <v>76712.960000000006</v>
      </c>
      <c r="D1596">
        <v>10.0228696461201</v>
      </c>
      <c r="E1596">
        <v>249</v>
      </c>
      <c r="F1596" t="s">
        <v>168</v>
      </c>
    </row>
    <row r="1597" spans="1:6" x14ac:dyDescent="0.2">
      <c r="A1597" t="s">
        <v>6</v>
      </c>
      <c r="B1597">
        <v>8116.0693279293</v>
      </c>
      <c r="C1597">
        <v>48038.36</v>
      </c>
      <c r="D1597">
        <v>10.3221977448146</v>
      </c>
      <c r="E1597">
        <v>249</v>
      </c>
      <c r="F1597" t="s">
        <v>168</v>
      </c>
    </row>
    <row r="1598" spans="1:6" x14ac:dyDescent="0.2">
      <c r="A1598" t="s">
        <v>9</v>
      </c>
      <c r="B1598">
        <v>8421.0983070100501</v>
      </c>
      <c r="C1598">
        <v>41269.589999999997</v>
      </c>
      <c r="D1598">
        <v>10.4673234378974</v>
      </c>
      <c r="E1598">
        <v>249</v>
      </c>
      <c r="F1598" t="s">
        <v>168</v>
      </c>
    </row>
    <row r="1599" spans="1:6" x14ac:dyDescent="0.2">
      <c r="A1599" t="s">
        <v>9</v>
      </c>
      <c r="B1599">
        <v>8727.1433686516102</v>
      </c>
      <c r="C1599">
        <v>50074.879999999997</v>
      </c>
      <c r="D1599">
        <v>10.6215575611273</v>
      </c>
      <c r="E1599">
        <v>249</v>
      </c>
      <c r="F1599" t="s">
        <v>168</v>
      </c>
    </row>
    <row r="1600" spans="1:6" x14ac:dyDescent="0.2">
      <c r="A1600" t="s">
        <v>11</v>
      </c>
      <c r="B1600">
        <v>9033.1728372932394</v>
      </c>
      <c r="C1600">
        <v>121340.23</v>
      </c>
      <c r="D1600">
        <v>10.7395170028687</v>
      </c>
      <c r="E1600">
        <v>249</v>
      </c>
      <c r="F1600" t="s">
        <v>168</v>
      </c>
    </row>
    <row r="1601" spans="1:6" x14ac:dyDescent="0.2">
      <c r="A1601" t="s">
        <v>6</v>
      </c>
      <c r="B1601">
        <v>9338.2091666353099</v>
      </c>
      <c r="C1601">
        <v>64446.78</v>
      </c>
      <c r="D1601">
        <v>10.857465302514999</v>
      </c>
      <c r="E1601">
        <v>249</v>
      </c>
      <c r="F1601" t="s">
        <v>168</v>
      </c>
    </row>
    <row r="1602" spans="1:6" x14ac:dyDescent="0.2">
      <c r="A1602" t="s">
        <v>8</v>
      </c>
      <c r="B1602">
        <v>2708.3000332044799</v>
      </c>
      <c r="C1602">
        <v>12290.51</v>
      </c>
      <c r="D1602">
        <v>1.55720335400899</v>
      </c>
      <c r="E1602">
        <v>253</v>
      </c>
      <c r="F1602" t="s">
        <v>169</v>
      </c>
    </row>
    <row r="1603" spans="1:6" x14ac:dyDescent="0.2">
      <c r="A1603" t="s">
        <v>6</v>
      </c>
      <c r="B1603">
        <v>3037.35205973652</v>
      </c>
      <c r="C1603">
        <v>5328.75</v>
      </c>
      <c r="D1603">
        <v>4.1096437529405003</v>
      </c>
      <c r="E1603">
        <v>253</v>
      </c>
      <c r="F1603" t="s">
        <v>169</v>
      </c>
    </row>
    <row r="1604" spans="1:6" x14ac:dyDescent="0.2">
      <c r="A1604" t="s">
        <v>10</v>
      </c>
      <c r="B1604">
        <v>3342.3896587509898</v>
      </c>
      <c r="C1604">
        <v>21533.22</v>
      </c>
      <c r="D1604">
        <v>4.7106352444171904</v>
      </c>
      <c r="E1604">
        <v>253</v>
      </c>
      <c r="F1604" t="s">
        <v>169</v>
      </c>
    </row>
    <row r="1605" spans="1:6" x14ac:dyDescent="0.2">
      <c r="A1605" t="s">
        <v>9</v>
      </c>
      <c r="B1605">
        <v>3687.4357440367698</v>
      </c>
      <c r="C1605">
        <v>35523.519999999997</v>
      </c>
      <c r="D1605">
        <v>5.1308935439268701</v>
      </c>
      <c r="E1605">
        <v>253</v>
      </c>
      <c r="F1605" t="s">
        <v>169</v>
      </c>
    </row>
    <row r="1606" spans="1:6" x14ac:dyDescent="0.2">
      <c r="A1606" t="s">
        <v>10</v>
      </c>
      <c r="B1606">
        <v>3993.4708100265502</v>
      </c>
      <c r="C1606">
        <v>65178.720000000001</v>
      </c>
      <c r="D1606">
        <v>5.7907224849542001</v>
      </c>
      <c r="E1606">
        <v>253</v>
      </c>
      <c r="F1606" t="s">
        <v>169</v>
      </c>
    </row>
    <row r="1607" spans="1:6" x14ac:dyDescent="0.2">
      <c r="A1607" t="s">
        <v>8</v>
      </c>
      <c r="B1607">
        <v>4338.5209942608199</v>
      </c>
      <c r="C1607">
        <v>63399.35</v>
      </c>
      <c r="D1607">
        <v>6.41902668631871</v>
      </c>
      <c r="E1607">
        <v>253</v>
      </c>
      <c r="F1607" t="s">
        <v>169</v>
      </c>
    </row>
    <row r="1608" spans="1:6" x14ac:dyDescent="0.2">
      <c r="A1608" t="s">
        <v>9</v>
      </c>
      <c r="B1608">
        <v>4667.5608061304401</v>
      </c>
      <c r="C1608">
        <v>62286.03</v>
      </c>
      <c r="D1608">
        <v>7.1107762113889104</v>
      </c>
      <c r="E1608">
        <v>253</v>
      </c>
      <c r="F1608" t="s">
        <v>169</v>
      </c>
    </row>
    <row r="1609" spans="1:6" x14ac:dyDescent="0.2">
      <c r="A1609" t="s">
        <v>6</v>
      </c>
      <c r="B1609">
        <v>4973.6016099923199</v>
      </c>
      <c r="C1609">
        <v>83946.64</v>
      </c>
      <c r="D1609">
        <v>7.5586016451994604</v>
      </c>
      <c r="E1609">
        <v>253</v>
      </c>
      <c r="F1609" t="s">
        <v>169</v>
      </c>
    </row>
    <row r="1610" spans="1:6" x14ac:dyDescent="0.2">
      <c r="A1610" t="s">
        <v>10</v>
      </c>
      <c r="B1610">
        <v>5278.6351677329903</v>
      </c>
      <c r="C1610">
        <v>81808.820000000007</v>
      </c>
      <c r="D1610">
        <v>8.1921988204797103</v>
      </c>
      <c r="E1610">
        <v>253</v>
      </c>
      <c r="F1610" t="s">
        <v>169</v>
      </c>
    </row>
    <row r="1611" spans="1:6" x14ac:dyDescent="0.2">
      <c r="A1611" t="s">
        <v>11</v>
      </c>
      <c r="B1611">
        <v>5623.7069080506899</v>
      </c>
      <c r="C1611">
        <v>118983.56</v>
      </c>
      <c r="D1611">
        <v>8.2827520942370096</v>
      </c>
      <c r="E1611">
        <v>253</v>
      </c>
      <c r="F1611" t="s">
        <v>169</v>
      </c>
    </row>
    <row r="1612" spans="1:6" x14ac:dyDescent="0.2">
      <c r="A1612" t="s">
        <v>6</v>
      </c>
      <c r="B1612">
        <v>5928.7821266466299</v>
      </c>
      <c r="C1612">
        <v>54731.19</v>
      </c>
      <c r="D1612">
        <v>8.4276596522013296</v>
      </c>
      <c r="E1612">
        <v>253</v>
      </c>
      <c r="F1612" t="s">
        <v>169</v>
      </c>
    </row>
    <row r="1613" spans="1:6" x14ac:dyDescent="0.2">
      <c r="A1613" t="s">
        <v>10</v>
      </c>
      <c r="B1613">
        <v>6273.7841699341598</v>
      </c>
      <c r="C1613">
        <v>66534.02</v>
      </c>
      <c r="D1613">
        <v>8.8534415856679303</v>
      </c>
      <c r="E1613">
        <v>253</v>
      </c>
      <c r="F1613" t="s">
        <v>169</v>
      </c>
    </row>
    <row r="1614" spans="1:6" x14ac:dyDescent="0.2">
      <c r="A1614" t="s">
        <v>9</v>
      </c>
      <c r="B1614">
        <v>6579.8275846896504</v>
      </c>
      <c r="C1614">
        <v>52715.05</v>
      </c>
      <c r="D1614">
        <v>9.0891361212412498</v>
      </c>
      <c r="E1614">
        <v>253</v>
      </c>
      <c r="F1614" t="s">
        <v>169</v>
      </c>
    </row>
    <row r="1615" spans="1:6" x14ac:dyDescent="0.2">
      <c r="A1615" t="s">
        <v>8</v>
      </c>
      <c r="B1615">
        <v>6908.8872749994398</v>
      </c>
      <c r="C1615">
        <v>26590.68</v>
      </c>
      <c r="D1615">
        <v>9.6329748367945296</v>
      </c>
      <c r="E1615">
        <v>253</v>
      </c>
      <c r="F1615" t="s">
        <v>169</v>
      </c>
    </row>
    <row r="1616" spans="1:6" x14ac:dyDescent="0.2">
      <c r="A1616" t="s">
        <v>8</v>
      </c>
      <c r="B1616">
        <v>10308.372446634299</v>
      </c>
      <c r="C1616">
        <v>79604.149999999994</v>
      </c>
      <c r="D1616">
        <v>11.760499419339499</v>
      </c>
      <c r="E1616">
        <v>254</v>
      </c>
      <c r="F1616" t="s">
        <v>170</v>
      </c>
    </row>
    <row r="1617" spans="1:6" x14ac:dyDescent="0.2">
      <c r="A1617" t="s">
        <v>6</v>
      </c>
      <c r="B1617">
        <v>10637.418781452499</v>
      </c>
      <c r="C1617">
        <v>39549.68</v>
      </c>
      <c r="D1617">
        <v>12.001149969863899</v>
      </c>
      <c r="E1617">
        <v>254</v>
      </c>
      <c r="F1617" t="s">
        <v>170</v>
      </c>
    </row>
    <row r="1618" spans="1:6" x14ac:dyDescent="0.2">
      <c r="A1618" t="s">
        <v>6</v>
      </c>
      <c r="B1618">
        <v>10942.4433813505</v>
      </c>
      <c r="C1618">
        <v>102015.64</v>
      </c>
      <c r="D1618">
        <v>12.0283913290183</v>
      </c>
      <c r="E1618">
        <v>254</v>
      </c>
      <c r="F1618" t="s">
        <v>170</v>
      </c>
    </row>
    <row r="1619" spans="1:6" x14ac:dyDescent="0.2">
      <c r="A1619" t="s">
        <v>9</v>
      </c>
      <c r="B1619">
        <v>11247.466741853799</v>
      </c>
      <c r="C1619">
        <v>61855.14</v>
      </c>
      <c r="D1619">
        <v>12.0283913290183</v>
      </c>
      <c r="E1619">
        <v>254</v>
      </c>
      <c r="F1619" t="s">
        <v>170</v>
      </c>
    </row>
    <row r="1620" spans="1:6" x14ac:dyDescent="0.2">
      <c r="A1620" t="s">
        <v>8</v>
      </c>
      <c r="B1620">
        <v>11553.490414392299</v>
      </c>
      <c r="C1620">
        <v>88846.95</v>
      </c>
      <c r="D1620">
        <v>12.119200412003201</v>
      </c>
      <c r="E1620">
        <v>254</v>
      </c>
      <c r="F1620" t="s">
        <v>170</v>
      </c>
    </row>
    <row r="1621" spans="1:6" x14ac:dyDescent="0.2">
      <c r="A1621" t="s">
        <v>11</v>
      </c>
      <c r="B1621">
        <v>11882.554575288799</v>
      </c>
      <c r="C1621">
        <v>118142.65</v>
      </c>
      <c r="D1621">
        <v>12.3008609687964</v>
      </c>
      <c r="E1621">
        <v>254</v>
      </c>
      <c r="F1621" t="s">
        <v>170</v>
      </c>
    </row>
    <row r="1622" spans="1:6" x14ac:dyDescent="0.2">
      <c r="A1622" t="s">
        <v>10</v>
      </c>
      <c r="B1622">
        <v>12227.5659790235</v>
      </c>
      <c r="C1622">
        <v>32045.23</v>
      </c>
      <c r="D1622">
        <v>12.359888378349901</v>
      </c>
      <c r="E1622">
        <v>254</v>
      </c>
      <c r="F1622" t="s">
        <v>170</v>
      </c>
    </row>
    <row r="1623" spans="1:6" x14ac:dyDescent="0.2">
      <c r="A1623" t="s">
        <v>9</v>
      </c>
      <c r="B1623">
        <v>12533.610678987699</v>
      </c>
      <c r="C1623">
        <v>50017.49</v>
      </c>
      <c r="D1623">
        <v>12.4824145869096</v>
      </c>
      <c r="E1623">
        <v>254</v>
      </c>
      <c r="F1623" t="s">
        <v>170</v>
      </c>
    </row>
    <row r="1624" spans="1:6" x14ac:dyDescent="0.2">
      <c r="A1624" t="s">
        <v>9</v>
      </c>
      <c r="B1624">
        <v>4061.49706910232</v>
      </c>
      <c r="C1624">
        <v>72658.100000000006</v>
      </c>
      <c r="D1624">
        <v>6.1477922931988997</v>
      </c>
      <c r="E1624">
        <v>258</v>
      </c>
      <c r="F1624" t="s">
        <v>171</v>
      </c>
    </row>
    <row r="1625" spans="1:6" x14ac:dyDescent="0.2">
      <c r="A1625" t="s">
        <v>6</v>
      </c>
      <c r="B1625">
        <v>4367.5221474478203</v>
      </c>
      <c r="C1625">
        <v>24076.240000000002</v>
      </c>
      <c r="D1625">
        <v>6.7490409270604497</v>
      </c>
      <c r="E1625">
        <v>258</v>
      </c>
      <c r="F1625" t="s">
        <v>171</v>
      </c>
    </row>
    <row r="1626" spans="1:6" x14ac:dyDescent="0.2">
      <c r="A1626" t="s">
        <v>8</v>
      </c>
      <c r="B1626">
        <v>4672.5683365765199</v>
      </c>
      <c r="C1626">
        <v>65304.1</v>
      </c>
      <c r="D1626">
        <v>7.0519884542306297</v>
      </c>
      <c r="E1626">
        <v>258</v>
      </c>
      <c r="F1626" t="s">
        <v>171</v>
      </c>
    </row>
    <row r="1627" spans="1:6" x14ac:dyDescent="0.2">
      <c r="A1627" t="s">
        <v>11</v>
      </c>
      <c r="B1627">
        <v>5001.6133972815496</v>
      </c>
      <c r="C1627">
        <v>116934.03</v>
      </c>
      <c r="D1627">
        <v>7.8029098864078499</v>
      </c>
      <c r="E1627">
        <v>258</v>
      </c>
      <c r="F1627" t="s">
        <v>171</v>
      </c>
    </row>
    <row r="1628" spans="1:6" x14ac:dyDescent="0.2">
      <c r="A1628" t="s">
        <v>8</v>
      </c>
      <c r="B1628">
        <v>5330.6719202337999</v>
      </c>
      <c r="C1628">
        <v>87047.09</v>
      </c>
      <c r="D1628">
        <v>8.2193639949639596</v>
      </c>
      <c r="E1628">
        <v>258</v>
      </c>
      <c r="F1628" t="s">
        <v>171</v>
      </c>
    </row>
    <row r="1629" spans="1:6" x14ac:dyDescent="0.2">
      <c r="A1629" t="s">
        <v>6</v>
      </c>
      <c r="B1629">
        <v>5635.7083981922196</v>
      </c>
      <c r="C1629">
        <v>85478.399999999994</v>
      </c>
      <c r="D1629">
        <v>8.4276596522013296</v>
      </c>
      <c r="E1629">
        <v>258</v>
      </c>
      <c r="F1629" t="s">
        <v>171</v>
      </c>
    </row>
    <row r="1630" spans="1:6" x14ac:dyDescent="0.2">
      <c r="A1630" t="s">
        <v>9</v>
      </c>
      <c r="B1630">
        <v>5941.7536964794199</v>
      </c>
      <c r="C1630">
        <v>38360.74</v>
      </c>
      <c r="D1630">
        <v>8.6087896442095406</v>
      </c>
      <c r="E1630">
        <v>258</v>
      </c>
      <c r="F1630" t="s">
        <v>171</v>
      </c>
    </row>
    <row r="1631" spans="1:6" x14ac:dyDescent="0.2">
      <c r="A1631" t="s">
        <v>9</v>
      </c>
      <c r="B1631">
        <v>6247.7873657668797</v>
      </c>
      <c r="C1631">
        <v>14382.27</v>
      </c>
      <c r="D1631">
        <v>8.7899990613937398</v>
      </c>
      <c r="E1631">
        <v>258</v>
      </c>
      <c r="F1631" t="s">
        <v>171</v>
      </c>
    </row>
    <row r="1632" spans="1:6" x14ac:dyDescent="0.2">
      <c r="A1632" t="s">
        <v>10</v>
      </c>
      <c r="B1632">
        <v>6592.8320229706896</v>
      </c>
      <c r="C1632">
        <v>11582.15</v>
      </c>
      <c r="D1632">
        <v>8.9395682449817606</v>
      </c>
      <c r="E1632">
        <v>258</v>
      </c>
      <c r="F1632" t="s">
        <v>171</v>
      </c>
    </row>
    <row r="1633" spans="1:6" x14ac:dyDescent="0.2">
      <c r="A1633" t="s">
        <v>9</v>
      </c>
      <c r="B1633">
        <v>11286.4902135624</v>
      </c>
      <c r="C1633">
        <v>67908.289999999994</v>
      </c>
      <c r="D1633">
        <v>12.001149969863899</v>
      </c>
      <c r="E1633">
        <v>259</v>
      </c>
      <c r="F1633" t="s">
        <v>172</v>
      </c>
    </row>
    <row r="1634" spans="1:6" x14ac:dyDescent="0.2">
      <c r="A1634" t="s">
        <v>11</v>
      </c>
      <c r="B1634">
        <v>11592.5101390734</v>
      </c>
      <c r="C1634">
        <v>116587.08</v>
      </c>
      <c r="D1634">
        <v>12.091964961655901</v>
      </c>
      <c r="E1634">
        <v>259</v>
      </c>
      <c r="F1634" t="s">
        <v>172</v>
      </c>
    </row>
    <row r="1635" spans="1:6" x14ac:dyDescent="0.2">
      <c r="A1635" t="s">
        <v>6</v>
      </c>
      <c r="B1635">
        <v>11897.529206126999</v>
      </c>
      <c r="C1635">
        <v>111730.71</v>
      </c>
      <c r="D1635">
        <v>12.1827950771332</v>
      </c>
      <c r="E1635">
        <v>259</v>
      </c>
      <c r="F1635" t="s">
        <v>172</v>
      </c>
    </row>
    <row r="1636" spans="1:6" x14ac:dyDescent="0.2">
      <c r="A1636" t="s">
        <v>10</v>
      </c>
      <c r="B1636">
        <v>12242.601712216099</v>
      </c>
      <c r="C1636">
        <v>57901.31</v>
      </c>
      <c r="D1636">
        <v>12.237303943999599</v>
      </c>
      <c r="E1636">
        <v>259</v>
      </c>
      <c r="F1636" t="s">
        <v>172</v>
      </c>
    </row>
    <row r="1637" spans="1:6" x14ac:dyDescent="0.2">
      <c r="A1637" t="s">
        <v>11</v>
      </c>
      <c r="B1637">
        <v>3097.3600700735301</v>
      </c>
      <c r="C1637">
        <v>116412.35</v>
      </c>
      <c r="D1637">
        <v>2.0993091936588302</v>
      </c>
      <c r="E1637">
        <v>260</v>
      </c>
      <c r="F1637" t="s">
        <v>173</v>
      </c>
    </row>
    <row r="1638" spans="1:6" x14ac:dyDescent="0.2">
      <c r="A1638" t="s">
        <v>6</v>
      </c>
      <c r="B1638">
        <v>3402.3992590933899</v>
      </c>
      <c r="C1638">
        <v>33497.96</v>
      </c>
      <c r="D1638">
        <v>3.2105945861021699</v>
      </c>
      <c r="E1638">
        <v>260</v>
      </c>
      <c r="F1638" t="s">
        <v>173</v>
      </c>
    </row>
    <row r="1639" spans="1:6" x14ac:dyDescent="0.2">
      <c r="A1639" t="s">
        <v>10</v>
      </c>
      <c r="B1639">
        <v>3747.4504373241898</v>
      </c>
      <c r="C1639">
        <v>57209.66</v>
      </c>
      <c r="D1639">
        <v>4.1096437529405003</v>
      </c>
      <c r="E1639">
        <v>260</v>
      </c>
      <c r="F1639" t="s">
        <v>173</v>
      </c>
    </row>
    <row r="1640" spans="1:6" x14ac:dyDescent="0.2">
      <c r="A1640" t="s">
        <v>6</v>
      </c>
      <c r="B1640">
        <v>4052.4912737074001</v>
      </c>
      <c r="C1640">
        <v>25034.57</v>
      </c>
      <c r="D1640">
        <v>4.8913853780110701</v>
      </c>
      <c r="E1640">
        <v>260</v>
      </c>
      <c r="F1640" t="s">
        <v>173</v>
      </c>
    </row>
    <row r="1641" spans="1:6" x14ac:dyDescent="0.2">
      <c r="A1641" t="s">
        <v>8</v>
      </c>
      <c r="B1641">
        <v>4381.5485909050803</v>
      </c>
      <c r="C1641">
        <v>74956.27</v>
      </c>
      <c r="D1641">
        <v>5.7319597537994396</v>
      </c>
      <c r="E1641">
        <v>260</v>
      </c>
      <c r="F1641" t="s">
        <v>173</v>
      </c>
    </row>
    <row r="1642" spans="1:6" x14ac:dyDescent="0.2">
      <c r="A1642" t="s">
        <v>6</v>
      </c>
      <c r="B1642">
        <v>4686.5973234974999</v>
      </c>
      <c r="C1642">
        <v>39248.300000000003</v>
      </c>
      <c r="D1642">
        <v>6.0890235439618401</v>
      </c>
      <c r="E1642">
        <v>260</v>
      </c>
      <c r="F1642" t="s">
        <v>173</v>
      </c>
    </row>
    <row r="1643" spans="1:6" x14ac:dyDescent="0.2">
      <c r="A1643" t="s">
        <v>8</v>
      </c>
      <c r="B1643">
        <v>5015.6278086283201</v>
      </c>
      <c r="C1643">
        <v>22518.28</v>
      </c>
      <c r="D1643">
        <v>7.4093134279727897</v>
      </c>
      <c r="E1643">
        <v>260</v>
      </c>
      <c r="F1643" t="s">
        <v>173</v>
      </c>
    </row>
    <row r="1644" spans="1:6" x14ac:dyDescent="0.2">
      <c r="A1644" t="s">
        <v>6</v>
      </c>
      <c r="B1644">
        <v>5320.6836890578797</v>
      </c>
      <c r="C1644">
        <v>10877.6</v>
      </c>
      <c r="D1644">
        <v>7.6807436362584403</v>
      </c>
      <c r="E1644">
        <v>260</v>
      </c>
      <c r="F1644" t="s">
        <v>173</v>
      </c>
    </row>
    <row r="1645" spans="1:6" x14ac:dyDescent="0.2">
      <c r="A1645" t="s">
        <v>9</v>
      </c>
      <c r="B1645">
        <v>3265.4400881834699</v>
      </c>
      <c r="C1645">
        <v>50358.95</v>
      </c>
      <c r="D1645">
        <v>4.2587451930522899</v>
      </c>
      <c r="E1645">
        <v>263</v>
      </c>
      <c r="F1645" t="s">
        <v>174</v>
      </c>
    </row>
    <row r="1646" spans="1:6" x14ac:dyDescent="0.2">
      <c r="A1646" t="s">
        <v>11</v>
      </c>
      <c r="B1646">
        <v>3571.45922749274</v>
      </c>
      <c r="C1646">
        <v>115405.04</v>
      </c>
      <c r="D1646">
        <v>5.0992564197063404</v>
      </c>
      <c r="E1646">
        <v>263</v>
      </c>
      <c r="F1646" t="s">
        <v>174</v>
      </c>
    </row>
    <row r="1647" spans="1:6" x14ac:dyDescent="0.2">
      <c r="A1647" t="s">
        <v>6</v>
      </c>
      <c r="B1647">
        <v>3876.5007974048699</v>
      </c>
      <c r="C1647">
        <v>42683.37</v>
      </c>
      <c r="D1647">
        <v>5.9398688292185504</v>
      </c>
      <c r="E1647">
        <v>263</v>
      </c>
      <c r="F1647" t="s">
        <v>174</v>
      </c>
    </row>
    <row r="1648" spans="1:6" x14ac:dyDescent="0.2">
      <c r="A1648" t="s">
        <v>10</v>
      </c>
      <c r="B1648">
        <v>4221.5501477503803</v>
      </c>
      <c r="C1648">
        <v>62471.94</v>
      </c>
      <c r="D1648">
        <v>6.3014941866874699</v>
      </c>
      <c r="E1648">
        <v>263</v>
      </c>
      <c r="F1648" t="s">
        <v>174</v>
      </c>
    </row>
    <row r="1649" spans="1:6" x14ac:dyDescent="0.2">
      <c r="A1649" t="s">
        <v>10</v>
      </c>
      <c r="B1649">
        <v>3789.4348309440902</v>
      </c>
      <c r="C1649">
        <v>77690.87</v>
      </c>
      <c r="D1649">
        <v>4.7106352444171904</v>
      </c>
      <c r="E1649">
        <v>264</v>
      </c>
      <c r="F1649" t="s">
        <v>175</v>
      </c>
    </row>
    <row r="1650" spans="1:6" x14ac:dyDescent="0.2">
      <c r="A1650" t="s">
        <v>10</v>
      </c>
      <c r="B1650">
        <v>4134.4776455350102</v>
      </c>
      <c r="C1650">
        <v>108758.88</v>
      </c>
      <c r="D1650">
        <v>5.5511773522377004</v>
      </c>
      <c r="E1650">
        <v>264</v>
      </c>
      <c r="F1650" t="s">
        <v>175</v>
      </c>
    </row>
    <row r="1651" spans="1:6" x14ac:dyDescent="0.2">
      <c r="A1651" t="s">
        <v>6</v>
      </c>
      <c r="B1651">
        <v>4479.5252495788</v>
      </c>
      <c r="C1651">
        <v>50595.29</v>
      </c>
      <c r="D1651">
        <v>6.1206648703098301</v>
      </c>
      <c r="E1651">
        <v>264</v>
      </c>
      <c r="F1651" t="s">
        <v>175</v>
      </c>
    </row>
    <row r="1652" spans="1:6" x14ac:dyDescent="0.2">
      <c r="A1652" t="s">
        <v>11</v>
      </c>
      <c r="B1652">
        <v>4784.5678378682996</v>
      </c>
      <c r="C1652">
        <v>115305.62</v>
      </c>
      <c r="D1652">
        <v>6.4823198870499903</v>
      </c>
      <c r="E1652">
        <v>264</v>
      </c>
      <c r="F1652" t="s">
        <v>175</v>
      </c>
    </row>
    <row r="1653" spans="1:6" x14ac:dyDescent="0.2">
      <c r="A1653" t="s">
        <v>9</v>
      </c>
      <c r="B1653">
        <v>5090.5809847317396</v>
      </c>
      <c r="C1653">
        <v>96028.09</v>
      </c>
      <c r="D1653">
        <v>6.8982393697579703</v>
      </c>
      <c r="E1653">
        <v>264</v>
      </c>
      <c r="F1653" t="s">
        <v>175</v>
      </c>
    </row>
    <row r="1654" spans="1:6" x14ac:dyDescent="0.2">
      <c r="A1654" t="s">
        <v>8</v>
      </c>
      <c r="B1654">
        <v>5419.6464873069699</v>
      </c>
      <c r="C1654">
        <v>46632.43</v>
      </c>
      <c r="D1654">
        <v>7.9205819860776296</v>
      </c>
      <c r="E1654">
        <v>264</v>
      </c>
      <c r="F1654" t="s">
        <v>175</v>
      </c>
    </row>
    <row r="1655" spans="1:6" x14ac:dyDescent="0.2">
      <c r="A1655" t="s">
        <v>6</v>
      </c>
      <c r="B1655">
        <v>2157.2401310927098</v>
      </c>
      <c r="C1655">
        <v>106130.71</v>
      </c>
      <c r="D1655">
        <v>0.80731301066080696</v>
      </c>
      <c r="E1655">
        <v>266</v>
      </c>
      <c r="F1655" t="s">
        <v>176</v>
      </c>
    </row>
    <row r="1656" spans="1:6" x14ac:dyDescent="0.2">
      <c r="A1656" t="s">
        <v>10</v>
      </c>
      <c r="B1656">
        <v>2462.2868662001401</v>
      </c>
      <c r="C1656">
        <v>65398.02</v>
      </c>
      <c r="D1656">
        <v>0.89764954404830899</v>
      </c>
      <c r="E1656">
        <v>266</v>
      </c>
      <c r="F1656" t="s">
        <v>176</v>
      </c>
    </row>
    <row r="1657" spans="1:6" x14ac:dyDescent="0.2">
      <c r="A1657" t="s">
        <v>11</v>
      </c>
      <c r="B1657">
        <v>2807.3308508683299</v>
      </c>
      <c r="C1657">
        <v>115180.77</v>
      </c>
      <c r="D1657">
        <v>1.07834287838936</v>
      </c>
      <c r="E1657">
        <v>266</v>
      </c>
      <c r="F1657" t="s">
        <v>176</v>
      </c>
    </row>
    <row r="1658" spans="1:6" x14ac:dyDescent="0.2">
      <c r="A1658" t="s">
        <v>10</v>
      </c>
      <c r="B1658">
        <v>3152.3794179937299</v>
      </c>
      <c r="C1658">
        <v>85678.34</v>
      </c>
      <c r="D1658">
        <v>1.8011496201833099</v>
      </c>
      <c r="E1658">
        <v>266</v>
      </c>
      <c r="F1658" t="s">
        <v>176</v>
      </c>
    </row>
    <row r="1659" spans="1:6" x14ac:dyDescent="0.2">
      <c r="A1659" t="s">
        <v>6</v>
      </c>
      <c r="B1659">
        <v>3457.4179873964199</v>
      </c>
      <c r="C1659">
        <v>58864.25</v>
      </c>
      <c r="D1659">
        <v>2.7904798205375698</v>
      </c>
      <c r="E1659">
        <v>266</v>
      </c>
      <c r="F1659" t="s">
        <v>176</v>
      </c>
    </row>
    <row r="1660" spans="1:6" x14ac:dyDescent="0.2">
      <c r="A1660" t="s">
        <v>6</v>
      </c>
      <c r="B1660">
        <v>3762.4597255093299</v>
      </c>
      <c r="C1660">
        <v>14829.2</v>
      </c>
      <c r="D1660">
        <v>3.5990953103383401</v>
      </c>
      <c r="E1660">
        <v>266</v>
      </c>
      <c r="F1660" t="s">
        <v>176</v>
      </c>
    </row>
    <row r="1661" spans="1:6" x14ac:dyDescent="0.2">
      <c r="A1661" t="s">
        <v>10</v>
      </c>
      <c r="B1661">
        <v>4107.5400273015703</v>
      </c>
      <c r="C1661">
        <v>62603.8</v>
      </c>
      <c r="D1661">
        <v>6.6902697598616303</v>
      </c>
      <c r="E1661">
        <v>266</v>
      </c>
      <c r="F1661" t="s">
        <v>176</v>
      </c>
    </row>
    <row r="1662" spans="1:6" x14ac:dyDescent="0.2">
      <c r="A1662" t="s">
        <v>6</v>
      </c>
      <c r="B1662">
        <v>4412.5522278811004</v>
      </c>
      <c r="C1662">
        <v>41923.339999999997</v>
      </c>
      <c r="D1662">
        <v>5.0405052121162397</v>
      </c>
      <c r="E1662">
        <v>266</v>
      </c>
      <c r="F1662" t="s">
        <v>176</v>
      </c>
    </row>
    <row r="1663" spans="1:6" x14ac:dyDescent="0.2">
      <c r="A1663" t="s">
        <v>6</v>
      </c>
      <c r="B1663">
        <v>4717.59165411906</v>
      </c>
      <c r="C1663">
        <v>27543.68</v>
      </c>
      <c r="D1663">
        <v>5.4879047031879402</v>
      </c>
      <c r="E1663">
        <v>266</v>
      </c>
      <c r="F1663" t="s">
        <v>176</v>
      </c>
    </row>
    <row r="1664" spans="1:6" x14ac:dyDescent="0.2">
      <c r="A1664" t="s">
        <v>9</v>
      </c>
      <c r="B1664">
        <v>8287.0620708274491</v>
      </c>
      <c r="C1664">
        <v>77557.64</v>
      </c>
      <c r="D1664">
        <v>10.558054118919401</v>
      </c>
      <c r="E1664">
        <v>268</v>
      </c>
      <c r="F1664" t="s">
        <v>177</v>
      </c>
    </row>
    <row r="1665" spans="1:6" x14ac:dyDescent="0.2">
      <c r="A1665" t="s">
        <v>10</v>
      </c>
      <c r="B1665">
        <v>8593.0844375745892</v>
      </c>
      <c r="C1665">
        <v>10638.97</v>
      </c>
      <c r="D1665">
        <v>10.766735636758799</v>
      </c>
      <c r="E1665">
        <v>268</v>
      </c>
      <c r="F1665" t="s">
        <v>177</v>
      </c>
    </row>
    <row r="1666" spans="1:6" x14ac:dyDescent="0.2">
      <c r="A1666" t="s">
        <v>11</v>
      </c>
      <c r="B1666">
        <v>8938.1471403436699</v>
      </c>
      <c r="C1666">
        <v>114523.48</v>
      </c>
      <c r="D1666">
        <v>10.8302426771005</v>
      </c>
      <c r="E1666">
        <v>268</v>
      </c>
      <c r="F1666" t="s">
        <v>177</v>
      </c>
    </row>
    <row r="1667" spans="1:6" x14ac:dyDescent="0.2">
      <c r="A1667" t="s">
        <v>10</v>
      </c>
      <c r="B1667">
        <v>9283.1781067055708</v>
      </c>
      <c r="C1667">
        <v>44042.95</v>
      </c>
      <c r="D1667">
        <v>11.0117443616867</v>
      </c>
      <c r="E1667">
        <v>268</v>
      </c>
      <c r="F1667" t="s">
        <v>177</v>
      </c>
    </row>
    <row r="1668" spans="1:6" x14ac:dyDescent="0.2">
      <c r="A1668" t="s">
        <v>11</v>
      </c>
      <c r="B1668">
        <v>7902.00054375934</v>
      </c>
      <c r="C1668">
        <v>112223.19</v>
      </c>
      <c r="D1668">
        <v>10.1090243613402</v>
      </c>
      <c r="E1668">
        <v>269</v>
      </c>
      <c r="F1668" t="s">
        <v>178</v>
      </c>
    </row>
    <row r="1669" spans="1:6" x14ac:dyDescent="0.2">
      <c r="A1669" t="s">
        <v>10</v>
      </c>
      <c r="B1669">
        <v>8247.0649365839399</v>
      </c>
      <c r="C1669">
        <v>51852.42</v>
      </c>
      <c r="D1669">
        <v>10.290441043742501</v>
      </c>
      <c r="E1669">
        <v>269</v>
      </c>
      <c r="F1669" t="s">
        <v>178</v>
      </c>
    </row>
    <row r="1670" spans="1:6" x14ac:dyDescent="0.2">
      <c r="A1670" t="s">
        <v>6</v>
      </c>
      <c r="B1670">
        <v>8552.0917978849393</v>
      </c>
      <c r="C1670">
        <v>28484.32</v>
      </c>
      <c r="D1670">
        <v>10.440124676195801</v>
      </c>
      <c r="E1670">
        <v>269</v>
      </c>
      <c r="F1670" t="s">
        <v>178</v>
      </c>
    </row>
    <row r="1671" spans="1:6" x14ac:dyDescent="0.2">
      <c r="A1671" t="s">
        <v>9</v>
      </c>
      <c r="B1671">
        <v>8858.12638876854</v>
      </c>
      <c r="C1671">
        <v>52102.94</v>
      </c>
      <c r="D1671">
        <v>10.5308376963615</v>
      </c>
      <c r="E1671">
        <v>269</v>
      </c>
      <c r="F1671" t="s">
        <v>178</v>
      </c>
    </row>
    <row r="1672" spans="1:6" x14ac:dyDescent="0.2">
      <c r="A1672" t="s">
        <v>6</v>
      </c>
      <c r="B1672">
        <v>2257.2779133856802</v>
      </c>
      <c r="C1672">
        <v>87063.01</v>
      </c>
      <c r="D1672">
        <v>0.78020909385681203</v>
      </c>
      <c r="E1672">
        <v>272</v>
      </c>
      <c r="F1672" t="s">
        <v>179</v>
      </c>
    </row>
    <row r="1673" spans="1:6" x14ac:dyDescent="0.2">
      <c r="A1673" t="s">
        <v>8</v>
      </c>
      <c r="B1673">
        <v>2562.32460401858</v>
      </c>
      <c r="C1673">
        <v>75938.59</v>
      </c>
      <c r="D1673">
        <v>0.89764954404830899</v>
      </c>
      <c r="E1673">
        <v>272</v>
      </c>
      <c r="F1673" t="s">
        <v>179</v>
      </c>
    </row>
    <row r="1674" spans="1:6" x14ac:dyDescent="0.2">
      <c r="A1674" t="s">
        <v>10</v>
      </c>
      <c r="B1674">
        <v>2891.3799626175901</v>
      </c>
      <c r="C1674">
        <v>99981.63</v>
      </c>
      <c r="D1674">
        <v>1.1686931864102701</v>
      </c>
      <c r="E1674">
        <v>272</v>
      </c>
      <c r="F1674" t="s">
        <v>179</v>
      </c>
    </row>
    <row r="1675" spans="1:6" x14ac:dyDescent="0.2">
      <c r="A1675" t="s">
        <v>6</v>
      </c>
      <c r="B1675">
        <v>3236.42192584026</v>
      </c>
      <c r="C1675">
        <v>37971.22</v>
      </c>
      <c r="D1675">
        <v>2.0089579200426702</v>
      </c>
      <c r="E1675">
        <v>272</v>
      </c>
      <c r="F1675" t="s">
        <v>179</v>
      </c>
    </row>
    <row r="1676" spans="1:6" x14ac:dyDescent="0.2">
      <c r="A1676" t="s">
        <v>10</v>
      </c>
      <c r="B1676">
        <v>3541.4913234109899</v>
      </c>
      <c r="C1676">
        <v>35860.46</v>
      </c>
      <c r="D1676">
        <v>5.5511773522377004</v>
      </c>
      <c r="E1676">
        <v>272</v>
      </c>
      <c r="F1676" t="s">
        <v>179</v>
      </c>
    </row>
    <row r="1677" spans="1:6" x14ac:dyDescent="0.2">
      <c r="A1677" t="s">
        <v>9</v>
      </c>
      <c r="B1677">
        <v>3886.5237271187302</v>
      </c>
      <c r="C1677">
        <v>72692.789999999994</v>
      </c>
      <c r="D1677">
        <v>6.2698493615468296</v>
      </c>
      <c r="E1677">
        <v>272</v>
      </c>
      <c r="F1677" t="s">
        <v>179</v>
      </c>
    </row>
    <row r="1678" spans="1:6" x14ac:dyDescent="0.2">
      <c r="A1678" t="s">
        <v>6</v>
      </c>
      <c r="B1678">
        <v>4192.5672676054</v>
      </c>
      <c r="C1678">
        <v>16969.060000000001</v>
      </c>
      <c r="D1678">
        <v>5.1896401122887896</v>
      </c>
      <c r="E1678">
        <v>272</v>
      </c>
      <c r="F1678" t="s">
        <v>179</v>
      </c>
    </row>
    <row r="1679" spans="1:6" x14ac:dyDescent="0.2">
      <c r="A1679" t="s">
        <v>11</v>
      </c>
      <c r="B1679">
        <v>4497.600694793</v>
      </c>
      <c r="C1679">
        <v>110746.2</v>
      </c>
      <c r="D1679">
        <v>7.0519884542306297</v>
      </c>
      <c r="E1679">
        <v>272</v>
      </c>
      <c r="F1679" t="s">
        <v>179</v>
      </c>
    </row>
    <row r="1680" spans="1:6" x14ac:dyDescent="0.2">
      <c r="A1680" t="s">
        <v>9</v>
      </c>
      <c r="B1680">
        <v>4803.6011815743304</v>
      </c>
      <c r="C1680">
        <v>42794.66</v>
      </c>
      <c r="D1680">
        <v>6.0031435604572296</v>
      </c>
      <c r="E1680">
        <v>272</v>
      </c>
      <c r="F1680" t="s">
        <v>179</v>
      </c>
    </row>
    <row r="1681" spans="1:6" x14ac:dyDescent="0.2">
      <c r="A1681" t="s">
        <v>8</v>
      </c>
      <c r="B1681">
        <v>3007.30061261217</v>
      </c>
      <c r="C1681">
        <v>8638.9599999999991</v>
      </c>
      <c r="D1681">
        <v>1.7107927099545801</v>
      </c>
      <c r="E1681">
        <v>275</v>
      </c>
      <c r="F1681" t="s">
        <v>180</v>
      </c>
    </row>
    <row r="1682" spans="1:6" x14ac:dyDescent="0.2">
      <c r="A1682" t="s">
        <v>6</v>
      </c>
      <c r="B1682">
        <v>3336.35242568901</v>
      </c>
      <c r="C1682">
        <v>45401.17</v>
      </c>
      <c r="D1682">
        <v>3.5719884033680001</v>
      </c>
      <c r="E1682">
        <v>275</v>
      </c>
      <c r="F1682" t="s">
        <v>180</v>
      </c>
    </row>
    <row r="1683" spans="1:6" x14ac:dyDescent="0.2">
      <c r="A1683" t="s">
        <v>9</v>
      </c>
      <c r="B1683">
        <v>3641.3858477706099</v>
      </c>
      <c r="C1683">
        <v>53596.41</v>
      </c>
      <c r="D1683">
        <v>4.5569924191315998</v>
      </c>
      <c r="E1683">
        <v>275</v>
      </c>
      <c r="F1683" t="s">
        <v>180</v>
      </c>
    </row>
    <row r="1684" spans="1:6" x14ac:dyDescent="0.2">
      <c r="A1684" t="s">
        <v>9</v>
      </c>
      <c r="B1684">
        <v>3947.4181844944001</v>
      </c>
      <c r="C1684">
        <v>81508.990000000005</v>
      </c>
      <c r="D1684">
        <v>5.2529161369482704</v>
      </c>
      <c r="E1684">
        <v>275</v>
      </c>
      <c r="F1684" t="s">
        <v>180</v>
      </c>
    </row>
    <row r="1685" spans="1:6" x14ac:dyDescent="0.2">
      <c r="A1685" t="s">
        <v>8</v>
      </c>
      <c r="B1685">
        <v>4253.43687078528</v>
      </c>
      <c r="C1685">
        <v>36596</v>
      </c>
      <c r="D1685">
        <v>5.9398688292185504</v>
      </c>
      <c r="E1685">
        <v>275</v>
      </c>
      <c r="F1685" t="s">
        <v>180</v>
      </c>
    </row>
    <row r="1686" spans="1:6" x14ac:dyDescent="0.2">
      <c r="A1686" t="s">
        <v>6</v>
      </c>
      <c r="B1686">
        <v>4582.5067809678403</v>
      </c>
      <c r="C1686">
        <v>76462.95</v>
      </c>
      <c r="D1686">
        <v>6.6902697598616303</v>
      </c>
      <c r="E1686">
        <v>275</v>
      </c>
      <c r="F1686" t="s">
        <v>180</v>
      </c>
    </row>
    <row r="1687" spans="1:6" x14ac:dyDescent="0.2">
      <c r="A1687" t="s">
        <v>6</v>
      </c>
      <c r="B1687">
        <v>4887.55006221643</v>
      </c>
      <c r="C1687">
        <v>74362.63</v>
      </c>
      <c r="D1687">
        <v>7.3776465530872297</v>
      </c>
      <c r="E1687">
        <v>275</v>
      </c>
      <c r="F1687" t="s">
        <v>180</v>
      </c>
    </row>
    <row r="1688" spans="1:6" x14ac:dyDescent="0.2">
      <c r="A1688" t="s">
        <v>11</v>
      </c>
      <c r="B1688">
        <v>5192.6096948949298</v>
      </c>
      <c r="C1688">
        <v>109953.56</v>
      </c>
      <c r="D1688">
        <v>7.2600274618148797</v>
      </c>
      <c r="E1688">
        <v>275</v>
      </c>
      <c r="F1688" t="s">
        <v>180</v>
      </c>
    </row>
    <row r="1689" spans="1:6" x14ac:dyDescent="0.2">
      <c r="A1689" t="s">
        <v>10</v>
      </c>
      <c r="B1689">
        <v>5537.6579259463297</v>
      </c>
      <c r="C1689">
        <v>96751.6</v>
      </c>
      <c r="D1689">
        <v>7.6807436362584403</v>
      </c>
      <c r="E1689">
        <v>275</v>
      </c>
      <c r="F1689" t="s">
        <v>180</v>
      </c>
    </row>
    <row r="1690" spans="1:6" x14ac:dyDescent="0.2">
      <c r="A1690" t="s">
        <v>6</v>
      </c>
      <c r="B1690">
        <v>3418.39985920256</v>
      </c>
      <c r="C1690">
        <v>80946.460000000006</v>
      </c>
      <c r="D1690">
        <v>2.2167643761316902</v>
      </c>
      <c r="E1690">
        <v>277</v>
      </c>
      <c r="F1690" t="s">
        <v>181</v>
      </c>
    </row>
    <row r="1691" spans="1:6" x14ac:dyDescent="0.2">
      <c r="A1691" t="s">
        <v>10</v>
      </c>
      <c r="B1691">
        <v>3723.4427483700601</v>
      </c>
      <c r="C1691">
        <v>33041.14</v>
      </c>
      <c r="D1691">
        <v>3.3009430622736602</v>
      </c>
      <c r="E1691">
        <v>277</v>
      </c>
      <c r="F1691" t="s">
        <v>181</v>
      </c>
    </row>
    <row r="1692" spans="1:6" x14ac:dyDescent="0.2">
      <c r="A1692" t="s">
        <v>9</v>
      </c>
      <c r="B1692">
        <v>4068.4852256496301</v>
      </c>
      <c r="C1692">
        <v>23892.04</v>
      </c>
      <c r="D1692">
        <v>4.3807517603715302</v>
      </c>
      <c r="E1692">
        <v>277</v>
      </c>
      <c r="F1692" t="s">
        <v>181</v>
      </c>
    </row>
    <row r="1693" spans="1:6" x14ac:dyDescent="0.2">
      <c r="A1693" t="s">
        <v>10</v>
      </c>
      <c r="B1693">
        <v>4374.5108027186698</v>
      </c>
      <c r="C1693">
        <v>61601.440000000002</v>
      </c>
      <c r="D1693">
        <v>5.0405052121162397</v>
      </c>
      <c r="E1693">
        <v>277</v>
      </c>
      <c r="F1693" t="s">
        <v>181</v>
      </c>
    </row>
    <row r="1694" spans="1:6" x14ac:dyDescent="0.2">
      <c r="A1694" t="s">
        <v>6</v>
      </c>
      <c r="B1694">
        <v>4719.5625155220996</v>
      </c>
      <c r="C1694">
        <v>42406.77</v>
      </c>
      <c r="D1694">
        <v>5.6686851596514396</v>
      </c>
      <c r="E1694">
        <v>277</v>
      </c>
      <c r="F1694" t="s">
        <v>181</v>
      </c>
    </row>
    <row r="1695" spans="1:6" x14ac:dyDescent="0.2">
      <c r="A1695" t="s">
        <v>8</v>
      </c>
      <c r="B1695">
        <v>5024.6430077411196</v>
      </c>
      <c r="C1695">
        <v>84394.86</v>
      </c>
      <c r="D1695">
        <v>7.8572145278930696</v>
      </c>
      <c r="E1695">
        <v>277</v>
      </c>
      <c r="F1695" t="s">
        <v>181</v>
      </c>
    </row>
    <row r="1696" spans="1:6" x14ac:dyDescent="0.2">
      <c r="A1696" t="s">
        <v>9</v>
      </c>
      <c r="B1696">
        <v>5353.7147958432097</v>
      </c>
      <c r="C1696">
        <v>65487.57</v>
      </c>
      <c r="D1696">
        <v>8.3733119284788806</v>
      </c>
      <c r="E1696">
        <v>277</v>
      </c>
      <c r="F1696" t="s">
        <v>181</v>
      </c>
    </row>
    <row r="1697" spans="1:6" x14ac:dyDescent="0.2">
      <c r="A1697" t="s">
        <v>9</v>
      </c>
      <c r="B1697">
        <v>5659.7138482703904</v>
      </c>
      <c r="C1697">
        <v>52851.18</v>
      </c>
      <c r="D1697">
        <v>8.6404895440419498</v>
      </c>
      <c r="E1697">
        <v>277</v>
      </c>
      <c r="F1697" t="s">
        <v>181</v>
      </c>
    </row>
    <row r="1698" spans="1:6" x14ac:dyDescent="0.2">
      <c r="A1698" t="s">
        <v>10</v>
      </c>
      <c r="B1698">
        <v>5965.7614950320803</v>
      </c>
      <c r="C1698">
        <v>11607.48</v>
      </c>
      <c r="D1698">
        <v>8.9078380798975605</v>
      </c>
      <c r="E1698">
        <v>277</v>
      </c>
      <c r="F1698" t="s">
        <v>181</v>
      </c>
    </row>
    <row r="1699" spans="1:6" x14ac:dyDescent="0.2">
      <c r="A1699" t="s">
        <v>9</v>
      </c>
      <c r="B1699">
        <v>6310.8207533777504</v>
      </c>
      <c r="C1699">
        <v>88736.46</v>
      </c>
      <c r="D1699">
        <v>8.9078380798975605</v>
      </c>
      <c r="E1699">
        <v>277</v>
      </c>
      <c r="F1699" t="s">
        <v>181</v>
      </c>
    </row>
    <row r="1700" spans="1:6" x14ac:dyDescent="0.2">
      <c r="A1700" t="s">
        <v>11</v>
      </c>
      <c r="B1700">
        <v>6616.8487357261502</v>
      </c>
      <c r="C1700">
        <v>109158.14</v>
      </c>
      <c r="D1700">
        <v>9.1525961355050391</v>
      </c>
      <c r="E1700">
        <v>277</v>
      </c>
      <c r="F1700" t="s">
        <v>181</v>
      </c>
    </row>
    <row r="1701" spans="1:6" x14ac:dyDescent="0.2">
      <c r="A1701" t="s">
        <v>9</v>
      </c>
      <c r="B1701">
        <v>6922.8801168066502</v>
      </c>
      <c r="C1701">
        <v>91545.32</v>
      </c>
      <c r="D1701">
        <v>9.2704182362238594</v>
      </c>
      <c r="E1701">
        <v>277</v>
      </c>
      <c r="F1701" t="s">
        <v>181</v>
      </c>
    </row>
    <row r="1702" spans="1:6" x14ac:dyDescent="0.2">
      <c r="A1702" t="s">
        <v>9</v>
      </c>
      <c r="B1702">
        <v>7228.9044981276302</v>
      </c>
      <c r="C1702">
        <v>9225.77</v>
      </c>
      <c r="D1702">
        <v>9.4516992524941799</v>
      </c>
      <c r="E1702">
        <v>277</v>
      </c>
      <c r="F1702" t="s">
        <v>181</v>
      </c>
    </row>
    <row r="1703" spans="1:6" x14ac:dyDescent="0.2">
      <c r="A1703" t="s">
        <v>10</v>
      </c>
      <c r="B1703">
        <v>5650.7073678446804</v>
      </c>
      <c r="C1703">
        <v>37712.36</v>
      </c>
      <c r="D1703">
        <v>7.9205819860776296</v>
      </c>
      <c r="E1703">
        <v>281</v>
      </c>
      <c r="F1703" t="s">
        <v>182</v>
      </c>
    </row>
    <row r="1704" spans="1:6" x14ac:dyDescent="0.2">
      <c r="A1704" t="s">
        <v>9</v>
      </c>
      <c r="B1704">
        <v>5995.7692454542603</v>
      </c>
      <c r="C1704">
        <v>57674.51</v>
      </c>
      <c r="D1704">
        <v>8.4004820779641491</v>
      </c>
      <c r="E1704">
        <v>281</v>
      </c>
      <c r="F1704" t="s">
        <v>182</v>
      </c>
    </row>
    <row r="1705" spans="1:6" x14ac:dyDescent="0.2">
      <c r="A1705" t="s">
        <v>9</v>
      </c>
      <c r="B1705">
        <v>6301.8103649998402</v>
      </c>
      <c r="C1705">
        <v>52703.64</v>
      </c>
      <c r="D1705">
        <v>8.6087896442095406</v>
      </c>
      <c r="E1705">
        <v>281</v>
      </c>
      <c r="F1705" t="s">
        <v>182</v>
      </c>
    </row>
    <row r="1706" spans="1:6" x14ac:dyDescent="0.2">
      <c r="A1706" t="s">
        <v>8</v>
      </c>
      <c r="B1706">
        <v>6607.84849488503</v>
      </c>
      <c r="C1706">
        <v>32210.55</v>
      </c>
      <c r="D1706">
        <v>8.7628044779777508</v>
      </c>
      <c r="E1706">
        <v>281</v>
      </c>
      <c r="F1706" t="s">
        <v>182</v>
      </c>
    </row>
    <row r="1707" spans="1:6" x14ac:dyDescent="0.2">
      <c r="A1707" t="s">
        <v>8</v>
      </c>
      <c r="B1707">
        <v>6936.8983249354897</v>
      </c>
      <c r="C1707">
        <v>56946.03</v>
      </c>
      <c r="D1707">
        <v>9.2432260270595492</v>
      </c>
      <c r="E1707">
        <v>281</v>
      </c>
      <c r="F1707" t="s">
        <v>182</v>
      </c>
    </row>
    <row r="1708" spans="1:6" x14ac:dyDescent="0.2">
      <c r="A1708" t="s">
        <v>11</v>
      </c>
      <c r="B1708">
        <v>7265.9430916603596</v>
      </c>
      <c r="C1708">
        <v>107469.75</v>
      </c>
      <c r="D1708">
        <v>9.4788820937951392</v>
      </c>
      <c r="E1708">
        <v>281</v>
      </c>
      <c r="F1708" t="s">
        <v>182</v>
      </c>
    </row>
    <row r="1709" spans="1:6" x14ac:dyDescent="0.2">
      <c r="A1709" t="s">
        <v>9</v>
      </c>
      <c r="B1709">
        <v>4104.5323853627997</v>
      </c>
      <c r="C1709">
        <v>41745.410000000003</v>
      </c>
      <c r="D1709">
        <v>5.7003263032118499</v>
      </c>
      <c r="E1709">
        <v>282</v>
      </c>
      <c r="F1709" t="s">
        <v>183</v>
      </c>
    </row>
    <row r="1710" spans="1:6" x14ac:dyDescent="0.2">
      <c r="A1710" t="s">
        <v>10</v>
      </c>
      <c r="B1710">
        <v>4410.5651835896397</v>
      </c>
      <c r="C1710">
        <v>54448.65</v>
      </c>
      <c r="D1710">
        <v>6.1477922931988997</v>
      </c>
      <c r="E1710">
        <v>282</v>
      </c>
      <c r="F1710" t="s">
        <v>183</v>
      </c>
    </row>
    <row r="1711" spans="1:6" x14ac:dyDescent="0.2">
      <c r="A1711" t="s">
        <v>10</v>
      </c>
      <c r="B1711">
        <v>4755.6051395407003</v>
      </c>
      <c r="C1711">
        <v>87052.61</v>
      </c>
      <c r="D1711">
        <v>6.7490409270604497</v>
      </c>
      <c r="E1711">
        <v>282</v>
      </c>
      <c r="F1711" t="s">
        <v>183</v>
      </c>
    </row>
    <row r="1712" spans="1:6" x14ac:dyDescent="0.2">
      <c r="A1712" t="s">
        <v>8</v>
      </c>
      <c r="B1712">
        <v>5100.6556291953602</v>
      </c>
      <c r="C1712">
        <v>88739.95</v>
      </c>
      <c r="D1712">
        <v>7.0791212037881204</v>
      </c>
      <c r="E1712">
        <v>282</v>
      </c>
      <c r="F1712" t="s">
        <v>183</v>
      </c>
    </row>
    <row r="1713" spans="1:6" x14ac:dyDescent="0.2">
      <c r="A1713" t="s">
        <v>8</v>
      </c>
      <c r="B1713">
        <v>5429.6966967279204</v>
      </c>
      <c r="C1713">
        <v>68205.58</v>
      </c>
      <c r="D1713">
        <v>7.7667061543146803</v>
      </c>
      <c r="E1713">
        <v>282</v>
      </c>
      <c r="F1713" t="s">
        <v>183</v>
      </c>
    </row>
    <row r="1714" spans="1:6" x14ac:dyDescent="0.2">
      <c r="A1714" t="s">
        <v>11</v>
      </c>
      <c r="B1714">
        <v>5758.7508970354302</v>
      </c>
      <c r="C1714">
        <v>106054.31</v>
      </c>
      <c r="D1714">
        <v>8.3733119284788806</v>
      </c>
      <c r="E1714">
        <v>282</v>
      </c>
      <c r="F1714" t="s">
        <v>183</v>
      </c>
    </row>
    <row r="1715" spans="1:6" x14ac:dyDescent="0.2">
      <c r="A1715" t="s">
        <v>8</v>
      </c>
      <c r="B1715">
        <v>6087.8094878811598</v>
      </c>
      <c r="C1715">
        <v>31811.13</v>
      </c>
      <c r="D1715">
        <v>8.8806360796769503</v>
      </c>
      <c r="E1715">
        <v>282</v>
      </c>
      <c r="F1715" t="s">
        <v>183</v>
      </c>
    </row>
    <row r="1716" spans="1:6" x14ac:dyDescent="0.2">
      <c r="A1716" t="s">
        <v>10</v>
      </c>
      <c r="B1716">
        <v>6432.8694222468703</v>
      </c>
      <c r="C1716">
        <v>41185.160000000003</v>
      </c>
      <c r="D1716">
        <v>9.1208622272491393</v>
      </c>
      <c r="E1716">
        <v>282</v>
      </c>
      <c r="F1716" t="s">
        <v>183</v>
      </c>
    </row>
    <row r="1717" spans="1:6" x14ac:dyDescent="0.2">
      <c r="A1717" t="s">
        <v>8</v>
      </c>
      <c r="B1717">
        <v>4345.4806730190103</v>
      </c>
      <c r="C1717">
        <v>32501.1</v>
      </c>
      <c r="D1717">
        <v>6.1477922931988997</v>
      </c>
      <c r="E1717">
        <v>285</v>
      </c>
      <c r="F1717" t="s">
        <v>184</v>
      </c>
    </row>
    <row r="1718" spans="1:6" x14ac:dyDescent="0.2">
      <c r="A1718" t="s">
        <v>6</v>
      </c>
      <c r="B1718">
        <v>4674.5528766733196</v>
      </c>
      <c r="C1718">
        <v>29629.51</v>
      </c>
      <c r="D1718">
        <v>6.8982393697579703</v>
      </c>
      <c r="E1718">
        <v>285</v>
      </c>
      <c r="F1718" t="s">
        <v>184</v>
      </c>
    </row>
    <row r="1719" spans="1:6" x14ac:dyDescent="0.2">
      <c r="A1719" t="s">
        <v>11</v>
      </c>
      <c r="B1719">
        <v>4979.5830200389601</v>
      </c>
      <c r="C1719">
        <v>104394.09</v>
      </c>
      <c r="D1719">
        <v>7.1695676362196599</v>
      </c>
      <c r="E1719">
        <v>285</v>
      </c>
      <c r="F1719" t="s">
        <v>184</v>
      </c>
    </row>
    <row r="1720" spans="1:6" x14ac:dyDescent="0.2">
      <c r="A1720" t="s">
        <v>10</v>
      </c>
      <c r="B1720">
        <v>5324.6320043408195</v>
      </c>
      <c r="C1720">
        <v>65954.89</v>
      </c>
      <c r="D1720">
        <v>7.5902651703039803</v>
      </c>
      <c r="E1720">
        <v>285</v>
      </c>
      <c r="F1720" t="s">
        <v>184</v>
      </c>
    </row>
    <row r="1721" spans="1:6" x14ac:dyDescent="0.2">
      <c r="A1721" t="s">
        <v>9</v>
      </c>
      <c r="B1721">
        <v>2460.3102937071599</v>
      </c>
      <c r="C1721">
        <v>56430.34</v>
      </c>
      <c r="D1721">
        <v>0.83893310186068204</v>
      </c>
      <c r="E1721">
        <v>287</v>
      </c>
      <c r="F1721" t="s">
        <v>185</v>
      </c>
    </row>
    <row r="1722" spans="1:6" x14ac:dyDescent="0.2">
      <c r="A1722" t="s">
        <v>11</v>
      </c>
      <c r="B1722">
        <v>2766.3389875346302</v>
      </c>
      <c r="C1722">
        <v>103409.38</v>
      </c>
      <c r="D1722">
        <v>0.96089091854095499</v>
      </c>
      <c r="E1722">
        <v>287</v>
      </c>
      <c r="F1722" t="s">
        <v>185</v>
      </c>
    </row>
    <row r="1723" spans="1:6" x14ac:dyDescent="0.2">
      <c r="A1723" t="s">
        <v>6</v>
      </c>
      <c r="B1723">
        <v>3071.38419438132</v>
      </c>
      <c r="C1723">
        <v>62497.98</v>
      </c>
      <c r="D1723">
        <v>1.07834287838936</v>
      </c>
      <c r="E1723">
        <v>287</v>
      </c>
      <c r="F1723" t="s">
        <v>185</v>
      </c>
    </row>
    <row r="1724" spans="1:6" x14ac:dyDescent="0.2">
      <c r="A1724" t="s">
        <v>9</v>
      </c>
      <c r="B1724">
        <v>3377.4062226385799</v>
      </c>
      <c r="C1724">
        <v>58975.6</v>
      </c>
      <c r="D1724">
        <v>1.62044557886124</v>
      </c>
      <c r="E1724">
        <v>287</v>
      </c>
      <c r="F1724" t="s">
        <v>185</v>
      </c>
    </row>
    <row r="1725" spans="1:6" x14ac:dyDescent="0.2">
      <c r="A1725" t="s">
        <v>6</v>
      </c>
      <c r="B1725">
        <v>3682.4462095154599</v>
      </c>
      <c r="C1725">
        <v>90337.54</v>
      </c>
      <c r="D1725">
        <v>2.4878098046461701</v>
      </c>
      <c r="E1725">
        <v>287</v>
      </c>
      <c r="F1725" t="s">
        <v>185</v>
      </c>
    </row>
    <row r="1726" spans="1:6" x14ac:dyDescent="0.2">
      <c r="A1726" t="s">
        <v>6</v>
      </c>
      <c r="B1726">
        <v>3987.4907255708799</v>
      </c>
      <c r="C1726">
        <v>36236.06</v>
      </c>
      <c r="D1726">
        <v>3.4500159120241798</v>
      </c>
      <c r="E1726">
        <v>287</v>
      </c>
      <c r="F1726" t="s">
        <v>185</v>
      </c>
    </row>
    <row r="1727" spans="1:6" x14ac:dyDescent="0.2">
      <c r="A1727" t="s">
        <v>6</v>
      </c>
      <c r="B1727">
        <v>4292.52947593516</v>
      </c>
      <c r="C1727">
        <v>55158.15</v>
      </c>
      <c r="D1727">
        <v>4.1683786526997899</v>
      </c>
      <c r="E1727">
        <v>287</v>
      </c>
      <c r="F1727" t="s">
        <v>185</v>
      </c>
    </row>
    <row r="1728" spans="1:6" x14ac:dyDescent="0.2">
      <c r="A1728" t="s">
        <v>6</v>
      </c>
      <c r="B1728">
        <v>4597.5673621907299</v>
      </c>
      <c r="C1728">
        <v>34293.18</v>
      </c>
      <c r="D1728">
        <v>4.7377503291448004</v>
      </c>
      <c r="E1728">
        <v>287</v>
      </c>
      <c r="F1728" t="s">
        <v>185</v>
      </c>
    </row>
    <row r="1729" spans="1:6" x14ac:dyDescent="0.2">
      <c r="A1729" t="s">
        <v>6</v>
      </c>
      <c r="B1729">
        <v>4902.62200822249</v>
      </c>
      <c r="C1729">
        <v>50186.63</v>
      </c>
      <c r="D1729">
        <v>6.6631430204391497</v>
      </c>
      <c r="E1729">
        <v>287</v>
      </c>
      <c r="F1729" t="s">
        <v>185</v>
      </c>
    </row>
    <row r="1730" spans="1:6" x14ac:dyDescent="0.2">
      <c r="A1730" t="s">
        <v>9</v>
      </c>
      <c r="B1730">
        <v>5208.6389880811903</v>
      </c>
      <c r="C1730">
        <v>70549.69</v>
      </c>
      <c r="D1730">
        <v>7.0791212037881204</v>
      </c>
      <c r="E1730">
        <v>287</v>
      </c>
      <c r="F1730" t="s">
        <v>185</v>
      </c>
    </row>
    <row r="1731" spans="1:6" x14ac:dyDescent="0.2">
      <c r="A1731" t="s">
        <v>10</v>
      </c>
      <c r="B1731">
        <v>5553.6871517857899</v>
      </c>
      <c r="C1731">
        <v>20572.09</v>
      </c>
      <c r="D1731">
        <v>6.3014941866874699</v>
      </c>
      <c r="E1731">
        <v>287</v>
      </c>
      <c r="F1731" t="s">
        <v>185</v>
      </c>
    </row>
    <row r="1732" spans="1:6" x14ac:dyDescent="0.2">
      <c r="A1732" t="s">
        <v>9</v>
      </c>
      <c r="B1732">
        <v>3179.4355174969601</v>
      </c>
      <c r="C1732">
        <v>37389.57</v>
      </c>
      <c r="D1732">
        <v>1.95023023641904</v>
      </c>
      <c r="E1732">
        <v>288</v>
      </c>
      <c r="F1732" t="s">
        <v>186</v>
      </c>
    </row>
    <row r="1733" spans="1:6" x14ac:dyDescent="0.2">
      <c r="A1733" t="s">
        <v>9</v>
      </c>
      <c r="B1733">
        <v>3485.4588124341999</v>
      </c>
      <c r="C1733">
        <v>64189.57</v>
      </c>
      <c r="D1733">
        <v>3.3009430622736602</v>
      </c>
      <c r="E1733">
        <v>288</v>
      </c>
      <c r="F1733" t="s">
        <v>186</v>
      </c>
    </row>
    <row r="1734" spans="1:6" x14ac:dyDescent="0.2">
      <c r="A1734" t="s">
        <v>10</v>
      </c>
      <c r="B1734">
        <v>3791.4820327637499</v>
      </c>
      <c r="C1734">
        <v>93245.31</v>
      </c>
      <c r="D1734">
        <v>4.2316353773752802</v>
      </c>
      <c r="E1734">
        <v>288</v>
      </c>
      <c r="F1734" t="s">
        <v>186</v>
      </c>
    </row>
    <row r="1735" spans="1:6" x14ac:dyDescent="0.2">
      <c r="A1735" t="s">
        <v>6</v>
      </c>
      <c r="B1735">
        <v>4136.5323162959703</v>
      </c>
      <c r="C1735">
        <v>54594.61</v>
      </c>
      <c r="D1735">
        <v>5.0992564197063404</v>
      </c>
      <c r="E1735">
        <v>288</v>
      </c>
      <c r="F1735" t="s">
        <v>186</v>
      </c>
    </row>
    <row r="1736" spans="1:6" x14ac:dyDescent="0.2">
      <c r="A1736" t="s">
        <v>10</v>
      </c>
      <c r="B1736">
        <v>4441.5716721304698</v>
      </c>
      <c r="C1736">
        <v>96591.22</v>
      </c>
      <c r="D1736">
        <v>5.5511773522377004</v>
      </c>
      <c r="E1736">
        <v>288</v>
      </c>
      <c r="F1736" t="s">
        <v>186</v>
      </c>
    </row>
    <row r="1737" spans="1:6" x14ac:dyDescent="0.2">
      <c r="A1737" t="s">
        <v>8</v>
      </c>
      <c r="B1737">
        <v>4786.6071278721702</v>
      </c>
      <c r="C1737">
        <v>85771.36</v>
      </c>
      <c r="D1737">
        <v>6.1477922931988997</v>
      </c>
      <c r="E1737">
        <v>288</v>
      </c>
      <c r="F1737" t="s">
        <v>186</v>
      </c>
    </row>
    <row r="1738" spans="1:6" x14ac:dyDescent="0.2">
      <c r="A1738" t="s">
        <v>8</v>
      </c>
      <c r="B1738">
        <v>5115.6645373403699</v>
      </c>
      <c r="C1738">
        <v>30248.82</v>
      </c>
      <c r="D1738">
        <v>6.8711072182337398</v>
      </c>
      <c r="E1738">
        <v>288</v>
      </c>
      <c r="F1738" t="s">
        <v>186</v>
      </c>
    </row>
    <row r="1739" spans="1:6" x14ac:dyDescent="0.2">
      <c r="A1739" t="s">
        <v>6</v>
      </c>
      <c r="B1739">
        <v>5444.7007655689604</v>
      </c>
      <c r="C1739">
        <v>85944.08</v>
      </c>
      <c r="D1739">
        <v>7.53146161195437</v>
      </c>
      <c r="E1739">
        <v>288</v>
      </c>
      <c r="F1739" t="s">
        <v>186</v>
      </c>
    </row>
    <row r="1740" spans="1:6" x14ac:dyDescent="0.2">
      <c r="A1740" t="s">
        <v>11</v>
      </c>
      <c r="B1740">
        <v>5749.7400342061101</v>
      </c>
      <c r="C1740">
        <v>103194.47</v>
      </c>
      <c r="D1740">
        <v>7.8029098864078499</v>
      </c>
      <c r="E1740">
        <v>288</v>
      </c>
      <c r="F1740" t="s">
        <v>186</v>
      </c>
    </row>
    <row r="1741" spans="1:6" x14ac:dyDescent="0.2">
      <c r="A1741" t="s">
        <v>8</v>
      </c>
      <c r="B1741">
        <v>6078.7929354961898</v>
      </c>
      <c r="C1741">
        <v>29410.06</v>
      </c>
      <c r="D1741">
        <v>8.3370868519624093</v>
      </c>
      <c r="E1741">
        <v>288</v>
      </c>
      <c r="F1741" t="s">
        <v>186</v>
      </c>
    </row>
    <row r="1742" spans="1:6" x14ac:dyDescent="0.2">
      <c r="A1742" t="s">
        <v>9</v>
      </c>
      <c r="B1742">
        <v>3922.4903783434402</v>
      </c>
      <c r="C1742">
        <v>23166.05</v>
      </c>
      <c r="D1742">
        <v>4.6473744447708096</v>
      </c>
      <c r="E1742">
        <v>292</v>
      </c>
      <c r="F1742" t="s">
        <v>187</v>
      </c>
    </row>
    <row r="1743" spans="1:6" x14ac:dyDescent="0.2">
      <c r="A1743" t="s">
        <v>10</v>
      </c>
      <c r="B1743">
        <v>4228.5153909250503</v>
      </c>
      <c r="C1743">
        <v>24181.41</v>
      </c>
      <c r="D1743">
        <v>5.1308935439268701</v>
      </c>
      <c r="E1743">
        <v>292</v>
      </c>
      <c r="F1743" t="s">
        <v>187</v>
      </c>
    </row>
    <row r="1744" spans="1:6" x14ac:dyDescent="0.2">
      <c r="A1744" t="s">
        <v>10</v>
      </c>
      <c r="B1744">
        <v>4573.5554654395901</v>
      </c>
      <c r="C1744">
        <v>21702</v>
      </c>
      <c r="D1744">
        <v>5.8811136698405004</v>
      </c>
      <c r="E1744">
        <v>292</v>
      </c>
      <c r="F1744" t="s">
        <v>187</v>
      </c>
    </row>
    <row r="1745" spans="1:6" x14ac:dyDescent="0.2">
      <c r="A1745" t="s">
        <v>6</v>
      </c>
      <c r="B1745">
        <v>4918.5889747517303</v>
      </c>
      <c r="C1745">
        <v>47920.86</v>
      </c>
      <c r="D1745">
        <v>6.41902668631871</v>
      </c>
      <c r="E1745">
        <v>292</v>
      </c>
      <c r="F1745" t="s">
        <v>187</v>
      </c>
    </row>
    <row r="1746" spans="1:6" x14ac:dyDescent="0.2">
      <c r="A1746" t="s">
        <v>11</v>
      </c>
      <c r="B1746">
        <v>5223.6275575452801</v>
      </c>
      <c r="C1746">
        <v>102761.65</v>
      </c>
      <c r="D1746">
        <v>6.7173964198112497</v>
      </c>
      <c r="E1746">
        <v>292</v>
      </c>
      <c r="F1746" t="s">
        <v>187</v>
      </c>
    </row>
    <row r="1747" spans="1:6" x14ac:dyDescent="0.2">
      <c r="A1747" t="s">
        <v>6</v>
      </c>
      <c r="B1747">
        <v>5528.6359182718497</v>
      </c>
      <c r="C1747">
        <v>30121.08</v>
      </c>
      <c r="D1747">
        <v>7.0203313028494501</v>
      </c>
      <c r="E1747">
        <v>292</v>
      </c>
      <c r="F1747" t="s">
        <v>187</v>
      </c>
    </row>
    <row r="1748" spans="1:6" x14ac:dyDescent="0.2">
      <c r="A1748" t="s">
        <v>10</v>
      </c>
      <c r="B1748">
        <v>5873.68491236317</v>
      </c>
      <c r="C1748">
        <v>37390</v>
      </c>
      <c r="D1748">
        <v>7.53146161195437</v>
      </c>
      <c r="E1748">
        <v>292</v>
      </c>
      <c r="F1748" t="s">
        <v>187</v>
      </c>
    </row>
    <row r="1749" spans="1:6" x14ac:dyDescent="0.2">
      <c r="A1749" t="s">
        <v>8</v>
      </c>
      <c r="B1749">
        <v>6202.7721081639402</v>
      </c>
      <c r="C1749">
        <v>19062.11</v>
      </c>
      <c r="D1749">
        <v>8.1288176512400305</v>
      </c>
      <c r="E1749">
        <v>292</v>
      </c>
      <c r="F1749" t="s">
        <v>187</v>
      </c>
    </row>
    <row r="1750" spans="1:6" x14ac:dyDescent="0.2">
      <c r="A1750" t="s">
        <v>10</v>
      </c>
      <c r="B1750">
        <v>6547.7805493156202</v>
      </c>
      <c r="C1750">
        <v>13100.17</v>
      </c>
      <c r="D1750">
        <v>8.3099201039155304</v>
      </c>
      <c r="E1750">
        <v>292</v>
      </c>
      <c r="F1750" t="s">
        <v>187</v>
      </c>
    </row>
    <row r="1751" spans="1:6" x14ac:dyDescent="0.2">
      <c r="A1751" t="s">
        <v>9</v>
      </c>
      <c r="B1751">
        <v>6853.8124294664904</v>
      </c>
      <c r="C1751">
        <v>5408.38</v>
      </c>
      <c r="D1751">
        <v>8.6993728454589796</v>
      </c>
      <c r="E1751">
        <v>292</v>
      </c>
      <c r="F1751" t="s">
        <v>187</v>
      </c>
    </row>
    <row r="1752" spans="1:6" x14ac:dyDescent="0.2">
      <c r="A1752" t="s">
        <v>9</v>
      </c>
      <c r="B1752">
        <v>2836.3631470684099</v>
      </c>
      <c r="C1752">
        <v>40068.06</v>
      </c>
      <c r="D1752">
        <v>1.4126355623881</v>
      </c>
      <c r="E1752">
        <v>297</v>
      </c>
      <c r="F1752" t="s">
        <v>188</v>
      </c>
    </row>
    <row r="1753" spans="1:6" x14ac:dyDescent="0.2">
      <c r="A1753" t="s">
        <v>9</v>
      </c>
      <c r="B1753">
        <v>3142.3794343876102</v>
      </c>
      <c r="C1753">
        <v>71420.25</v>
      </c>
      <c r="D1753">
        <v>2.55105825222333</v>
      </c>
      <c r="E1753">
        <v>297</v>
      </c>
      <c r="F1753" t="s">
        <v>188</v>
      </c>
    </row>
    <row r="1754" spans="1:6" x14ac:dyDescent="0.2">
      <c r="A1754" t="s">
        <v>8</v>
      </c>
      <c r="B1754">
        <v>3448.4057218072198</v>
      </c>
      <c r="C1754">
        <v>22976.75</v>
      </c>
      <c r="D1754">
        <v>3.7798186774730702</v>
      </c>
      <c r="E1754">
        <v>297</v>
      </c>
      <c r="F1754" t="s">
        <v>188</v>
      </c>
    </row>
    <row r="1755" spans="1:6" x14ac:dyDescent="0.2">
      <c r="A1755" t="s">
        <v>11</v>
      </c>
      <c r="B1755">
        <v>3777.4828687480199</v>
      </c>
      <c r="C1755">
        <v>101580.91</v>
      </c>
      <c r="D1755">
        <v>5.4291594202995297</v>
      </c>
      <c r="E1755">
        <v>297</v>
      </c>
      <c r="F1755" t="s">
        <v>188</v>
      </c>
    </row>
    <row r="1756" spans="1:6" x14ac:dyDescent="0.2">
      <c r="A1756" t="s">
        <v>6</v>
      </c>
      <c r="B1756">
        <v>4082.50412140051</v>
      </c>
      <c r="C1756">
        <v>39319.07</v>
      </c>
      <c r="D1756">
        <v>5.5511773522377004</v>
      </c>
      <c r="E1756">
        <v>297</v>
      </c>
      <c r="F1756" t="s">
        <v>188</v>
      </c>
    </row>
    <row r="1757" spans="1:6" x14ac:dyDescent="0.2">
      <c r="A1757" t="s">
        <v>6</v>
      </c>
      <c r="B1757">
        <v>4387.5368536638898</v>
      </c>
      <c r="C1757">
        <v>61872.959999999999</v>
      </c>
      <c r="D1757">
        <v>5.9398688292185504</v>
      </c>
      <c r="E1757">
        <v>297</v>
      </c>
      <c r="F1757" t="s">
        <v>188</v>
      </c>
    </row>
    <row r="1758" spans="1:6" x14ac:dyDescent="0.2">
      <c r="A1758" t="s">
        <v>10</v>
      </c>
      <c r="B1758">
        <v>4732.5893049924398</v>
      </c>
      <c r="C1758">
        <v>35791.33</v>
      </c>
      <c r="D1758">
        <v>6.5094394937833204</v>
      </c>
      <c r="E1758">
        <v>297</v>
      </c>
      <c r="F1758" t="s">
        <v>188</v>
      </c>
    </row>
    <row r="1759" spans="1:6" x14ac:dyDescent="0.2">
      <c r="A1759" t="s">
        <v>6</v>
      </c>
      <c r="B1759">
        <v>5037.6203653859302</v>
      </c>
      <c r="C1759">
        <v>10731.56</v>
      </c>
      <c r="D1759">
        <v>6.83945900357564</v>
      </c>
      <c r="E1759">
        <v>297</v>
      </c>
      <c r="F1759" t="s">
        <v>188</v>
      </c>
    </row>
    <row r="1760" spans="1:6" x14ac:dyDescent="0.2">
      <c r="A1760" t="s">
        <v>6</v>
      </c>
      <c r="B1760">
        <v>4966.57027441018</v>
      </c>
      <c r="C1760">
        <v>44561.35</v>
      </c>
      <c r="D1760">
        <v>7.1424336369514503</v>
      </c>
      <c r="E1760">
        <v>301</v>
      </c>
      <c r="F1760" t="s">
        <v>189</v>
      </c>
    </row>
    <row r="1761" spans="1:6" x14ac:dyDescent="0.2">
      <c r="A1761" t="s">
        <v>10</v>
      </c>
      <c r="B1761">
        <v>5271.6139039241098</v>
      </c>
      <c r="C1761">
        <v>52202.43</v>
      </c>
      <c r="D1761">
        <v>7.4997938370386796</v>
      </c>
      <c r="E1761">
        <v>301</v>
      </c>
      <c r="F1761" t="s">
        <v>189</v>
      </c>
    </row>
    <row r="1762" spans="1:6" x14ac:dyDescent="0.2">
      <c r="A1762" t="s">
        <v>8</v>
      </c>
      <c r="B1762">
        <v>5616.6634731180702</v>
      </c>
      <c r="C1762">
        <v>29531.77</v>
      </c>
      <c r="D1762">
        <v>7.9205819860776296</v>
      </c>
      <c r="E1762">
        <v>301</v>
      </c>
      <c r="F1762" t="s">
        <v>189</v>
      </c>
    </row>
    <row r="1763" spans="1:6" x14ac:dyDescent="0.2">
      <c r="A1763" t="s">
        <v>11</v>
      </c>
      <c r="B1763">
        <v>5945.7368332043097</v>
      </c>
      <c r="C1763">
        <v>99730.49</v>
      </c>
      <c r="D1763">
        <v>9.6329748367945296</v>
      </c>
      <c r="E1763">
        <v>301</v>
      </c>
      <c r="F1763" t="s">
        <v>189</v>
      </c>
    </row>
    <row r="1764" spans="1:6" x14ac:dyDescent="0.2">
      <c r="A1764" t="s">
        <v>8</v>
      </c>
      <c r="B1764">
        <v>7965.0320552003896</v>
      </c>
      <c r="C1764">
        <v>62754.74</v>
      </c>
      <c r="D1764">
        <v>10.5308376963615</v>
      </c>
      <c r="E1764">
        <v>313</v>
      </c>
      <c r="F1764" t="s">
        <v>190</v>
      </c>
    </row>
    <row r="1765" spans="1:6" x14ac:dyDescent="0.2">
      <c r="A1765" t="s">
        <v>6</v>
      </c>
      <c r="B1765">
        <v>8294.0960221079604</v>
      </c>
      <c r="C1765">
        <v>38354.06</v>
      </c>
      <c r="D1765">
        <v>10.8892314946334</v>
      </c>
      <c r="E1765">
        <v>313</v>
      </c>
      <c r="F1765" t="s">
        <v>190</v>
      </c>
    </row>
    <row r="1766" spans="1:6" x14ac:dyDescent="0.2">
      <c r="A1766" t="s">
        <v>11</v>
      </c>
      <c r="B1766">
        <v>8599.1233673362203</v>
      </c>
      <c r="C1766">
        <v>92164.69</v>
      </c>
      <c r="D1766">
        <v>10.857465302514999</v>
      </c>
      <c r="E1766">
        <v>313</v>
      </c>
      <c r="F1766" t="s">
        <v>190</v>
      </c>
    </row>
    <row r="1767" spans="1:6" x14ac:dyDescent="0.2">
      <c r="A1767" t="s">
        <v>9</v>
      </c>
      <c r="B1767">
        <v>8905.1544078736006</v>
      </c>
      <c r="C1767">
        <v>50871.79</v>
      </c>
      <c r="D1767">
        <v>10.948215168285399</v>
      </c>
      <c r="E1767">
        <v>313</v>
      </c>
      <c r="F1767" t="s">
        <v>190</v>
      </c>
    </row>
    <row r="1768" spans="1:6" x14ac:dyDescent="0.2">
      <c r="A1768" t="s">
        <v>6</v>
      </c>
      <c r="B1768">
        <v>11999.564734698301</v>
      </c>
      <c r="C1768">
        <v>30321.46</v>
      </c>
      <c r="D1768">
        <v>12.269072095123899</v>
      </c>
      <c r="E1768">
        <v>317</v>
      </c>
      <c r="F1768" t="s">
        <v>191</v>
      </c>
    </row>
    <row r="1769" spans="1:6" x14ac:dyDescent="0.2">
      <c r="A1769" t="s">
        <v>9</v>
      </c>
      <c r="B1769">
        <v>12304.612677429401</v>
      </c>
      <c r="C1769">
        <v>53564.5</v>
      </c>
      <c r="D1769">
        <v>12.3916607196808</v>
      </c>
      <c r="E1769">
        <v>317</v>
      </c>
      <c r="F1769" t="s">
        <v>191</v>
      </c>
    </row>
    <row r="1770" spans="1:6" x14ac:dyDescent="0.2">
      <c r="A1770" t="s">
        <v>11</v>
      </c>
      <c r="B1770">
        <v>12610.6487367013</v>
      </c>
      <c r="C1770">
        <v>90843.86</v>
      </c>
      <c r="D1770">
        <v>12.4188859438578</v>
      </c>
      <c r="E1770">
        <v>317</v>
      </c>
      <c r="F1770" t="s">
        <v>191</v>
      </c>
    </row>
    <row r="1771" spans="1:6" x14ac:dyDescent="0.2">
      <c r="A1771" t="s">
        <v>10</v>
      </c>
      <c r="B1771">
        <v>12955.696213278399</v>
      </c>
      <c r="C1771">
        <v>50210.89</v>
      </c>
      <c r="D1771">
        <v>12.6004162863572</v>
      </c>
      <c r="E1771">
        <v>317</v>
      </c>
      <c r="F1771" t="s">
        <v>191</v>
      </c>
    </row>
    <row r="1772" spans="1:6" x14ac:dyDescent="0.2">
      <c r="A1772" t="s">
        <v>10</v>
      </c>
      <c r="B1772">
        <v>13300.7228616584</v>
      </c>
      <c r="C1772">
        <v>46169.1</v>
      </c>
      <c r="D1772">
        <v>12.5368875618458</v>
      </c>
      <c r="E1772">
        <v>317</v>
      </c>
      <c r="F1772" t="s">
        <v>191</v>
      </c>
    </row>
    <row r="1773" spans="1:6" x14ac:dyDescent="0.2">
      <c r="A1773" t="s">
        <v>6</v>
      </c>
      <c r="B1773">
        <v>13605.7762032147</v>
      </c>
      <c r="C1773">
        <v>26784.720000000001</v>
      </c>
      <c r="D1773">
        <v>12.5731902436097</v>
      </c>
      <c r="E1773">
        <v>317</v>
      </c>
      <c r="F1773" t="s">
        <v>191</v>
      </c>
    </row>
    <row r="1774" spans="1:6" x14ac:dyDescent="0.2">
      <c r="A1774" t="s">
        <v>9</v>
      </c>
      <c r="B1774">
        <v>2296.2986047803702</v>
      </c>
      <c r="C1774">
        <v>72318.95</v>
      </c>
      <c r="D1774">
        <v>0.80731301066080696</v>
      </c>
      <c r="E1774">
        <v>325</v>
      </c>
      <c r="F1774" t="s">
        <v>192</v>
      </c>
    </row>
    <row r="1775" spans="1:6" x14ac:dyDescent="0.2">
      <c r="A1775" t="s">
        <v>11</v>
      </c>
      <c r="B1775">
        <v>2602.32624436694</v>
      </c>
      <c r="C1775">
        <v>85921.89</v>
      </c>
      <c r="D1775">
        <v>0.92926780339876802</v>
      </c>
      <c r="E1775">
        <v>325</v>
      </c>
      <c r="F1775" t="s">
        <v>192</v>
      </c>
    </row>
    <row r="1776" spans="1:6" x14ac:dyDescent="0.2">
      <c r="A1776" t="s">
        <v>10</v>
      </c>
      <c r="B1776">
        <v>2947.3767803041901</v>
      </c>
      <c r="C1776">
        <v>62868.639999999999</v>
      </c>
      <c r="D1776">
        <v>1.14158847090403</v>
      </c>
      <c r="E1776">
        <v>325</v>
      </c>
      <c r="F1776" t="s">
        <v>192</v>
      </c>
    </row>
    <row r="1777" spans="1:6" x14ac:dyDescent="0.2">
      <c r="A1777" t="s">
        <v>8</v>
      </c>
      <c r="B1777">
        <v>3276.4283430177802</v>
      </c>
      <c r="C1777">
        <v>6331.01</v>
      </c>
      <c r="D1777">
        <v>2.55105825222333</v>
      </c>
      <c r="E1777">
        <v>325</v>
      </c>
      <c r="F1777" t="s">
        <v>192</v>
      </c>
    </row>
    <row r="1778" spans="1:6" x14ac:dyDescent="0.2">
      <c r="A1778" t="s">
        <v>6</v>
      </c>
      <c r="B1778">
        <v>4015.5811845486701</v>
      </c>
      <c r="C1778">
        <v>42752.11</v>
      </c>
      <c r="D1778">
        <v>5.9398688292185504</v>
      </c>
      <c r="E1778">
        <v>326</v>
      </c>
      <c r="F1778" t="s">
        <v>193</v>
      </c>
    </row>
    <row r="1779" spans="1:6" x14ac:dyDescent="0.2">
      <c r="A1779" t="s">
        <v>11</v>
      </c>
      <c r="B1779">
        <v>4320.6270022007102</v>
      </c>
      <c r="C1779">
        <v>85826.79</v>
      </c>
      <c r="D1779">
        <v>6.2698493615468296</v>
      </c>
      <c r="E1779">
        <v>326</v>
      </c>
      <c r="F1779" t="s">
        <v>193</v>
      </c>
    </row>
    <row r="1780" spans="1:6" x14ac:dyDescent="0.2">
      <c r="A1780" t="s">
        <v>8</v>
      </c>
      <c r="B1780">
        <v>4649.68006935823</v>
      </c>
      <c r="C1780">
        <v>62385.66</v>
      </c>
      <c r="D1780">
        <v>7.0203313028494501</v>
      </c>
      <c r="E1780">
        <v>326</v>
      </c>
      <c r="F1780" t="s">
        <v>193</v>
      </c>
    </row>
    <row r="1781" spans="1:6" x14ac:dyDescent="0.2">
      <c r="A1781" t="s">
        <v>8</v>
      </c>
      <c r="B1781">
        <v>4978.7428061786904</v>
      </c>
      <c r="C1781">
        <v>76540.52</v>
      </c>
      <c r="D1781">
        <v>7.7667061543146803</v>
      </c>
      <c r="E1781">
        <v>326</v>
      </c>
      <c r="F1781" t="s">
        <v>193</v>
      </c>
    </row>
    <row r="1782" spans="1:6" x14ac:dyDescent="0.2">
      <c r="A1782" t="s">
        <v>8</v>
      </c>
      <c r="B1782">
        <v>5307.7999870895901</v>
      </c>
      <c r="C1782">
        <v>68183.73</v>
      </c>
      <c r="D1782">
        <v>8.4004820779641491</v>
      </c>
      <c r="E1782">
        <v>326</v>
      </c>
      <c r="F1782" t="s">
        <v>193</v>
      </c>
    </row>
    <row r="1783" spans="1:6" x14ac:dyDescent="0.2">
      <c r="A1783" t="s">
        <v>10</v>
      </c>
      <c r="B1783">
        <v>5652.8593949209999</v>
      </c>
      <c r="C1783">
        <v>49080.37</v>
      </c>
      <c r="D1783">
        <v>8.6721980766137392</v>
      </c>
      <c r="E1783">
        <v>326</v>
      </c>
      <c r="F1783" t="s">
        <v>193</v>
      </c>
    </row>
    <row r="1784" spans="1:6" x14ac:dyDescent="0.2">
      <c r="A1784" t="s">
        <v>9</v>
      </c>
      <c r="B1784">
        <v>13856.799988131799</v>
      </c>
      <c r="C1784">
        <v>50715.83</v>
      </c>
      <c r="D1784">
        <v>12.7502241031011</v>
      </c>
      <c r="E1784">
        <v>329</v>
      </c>
      <c r="F1784" t="s">
        <v>194</v>
      </c>
    </row>
    <row r="1785" spans="1:6" x14ac:dyDescent="0.2">
      <c r="A1785" t="s">
        <v>8</v>
      </c>
      <c r="B1785">
        <v>14162.8204192184</v>
      </c>
      <c r="C1785">
        <v>53606.9</v>
      </c>
      <c r="D1785">
        <v>12.8364874438127</v>
      </c>
      <c r="E1785">
        <v>329</v>
      </c>
      <c r="F1785" t="s">
        <v>194</v>
      </c>
    </row>
    <row r="1786" spans="1:6" x14ac:dyDescent="0.2">
      <c r="A1786" t="s">
        <v>10</v>
      </c>
      <c r="B1786">
        <v>14491.906492890001</v>
      </c>
      <c r="C1786">
        <v>57792.53</v>
      </c>
      <c r="D1786">
        <v>12.959064552752199</v>
      </c>
      <c r="E1786">
        <v>329</v>
      </c>
      <c r="F1786" t="s">
        <v>194</v>
      </c>
    </row>
    <row r="1787" spans="1:6" x14ac:dyDescent="0.2">
      <c r="A1787" t="s">
        <v>6</v>
      </c>
      <c r="B1787">
        <v>14836.9356299962</v>
      </c>
      <c r="C1787">
        <v>41939</v>
      </c>
      <c r="D1787">
        <v>13.0816545442422</v>
      </c>
      <c r="E1787">
        <v>329</v>
      </c>
      <c r="F1787" t="s">
        <v>194</v>
      </c>
    </row>
    <row r="1788" spans="1:6" x14ac:dyDescent="0.2">
      <c r="A1788" t="s">
        <v>11</v>
      </c>
      <c r="B1788">
        <v>15141.9570717303</v>
      </c>
      <c r="C1788">
        <v>85674.01</v>
      </c>
      <c r="D1788">
        <v>13.0816545442422</v>
      </c>
      <c r="E1788">
        <v>329</v>
      </c>
      <c r="F1788" t="s">
        <v>194</v>
      </c>
    </row>
    <row r="1789" spans="1:6" x14ac:dyDescent="0.2">
      <c r="A1789" t="s">
        <v>9</v>
      </c>
      <c r="B1789">
        <v>15447.986761607601</v>
      </c>
      <c r="C1789">
        <v>50638.879999999997</v>
      </c>
      <c r="D1789">
        <v>13.1089058355173</v>
      </c>
      <c r="E1789">
        <v>329</v>
      </c>
      <c r="F1789" t="s">
        <v>194</v>
      </c>
    </row>
    <row r="1790" spans="1:6" x14ac:dyDescent="0.2">
      <c r="A1790" t="s">
        <v>9</v>
      </c>
      <c r="B1790">
        <v>15754.0591580769</v>
      </c>
      <c r="C1790">
        <v>37868.959999999999</v>
      </c>
      <c r="D1790">
        <v>13.1089058355173</v>
      </c>
      <c r="E1790">
        <v>329</v>
      </c>
      <c r="F1790" t="s">
        <v>194</v>
      </c>
    </row>
    <row r="1791" spans="1:6" x14ac:dyDescent="0.2">
      <c r="A1791" t="s">
        <v>6</v>
      </c>
      <c r="B1791">
        <v>16059.041751945801</v>
      </c>
      <c r="C1791">
        <v>14299.57</v>
      </c>
      <c r="D1791">
        <v>13.1089058355173</v>
      </c>
      <c r="E1791">
        <v>329</v>
      </c>
      <c r="F1791" t="s">
        <v>194</v>
      </c>
    </row>
    <row r="1792" spans="1:6" x14ac:dyDescent="0.2">
      <c r="A1792" t="s">
        <v>6</v>
      </c>
      <c r="B1792">
        <v>8428.1293447292592</v>
      </c>
      <c r="C1792">
        <v>44959.03</v>
      </c>
      <c r="D1792">
        <v>10.8302426771005</v>
      </c>
      <c r="E1792">
        <v>330</v>
      </c>
      <c r="F1792" t="s">
        <v>195</v>
      </c>
    </row>
    <row r="1793" spans="1:6" x14ac:dyDescent="0.2">
      <c r="A1793" t="s">
        <v>9</v>
      </c>
      <c r="B1793">
        <v>8733.1786546612402</v>
      </c>
      <c r="C1793">
        <v>33791.51</v>
      </c>
      <c r="D1793">
        <v>11.0117443616867</v>
      </c>
      <c r="E1793">
        <v>330</v>
      </c>
      <c r="F1793" t="s">
        <v>195</v>
      </c>
    </row>
    <row r="1794" spans="1:6" x14ac:dyDescent="0.2">
      <c r="A1794" t="s">
        <v>10</v>
      </c>
      <c r="B1794">
        <v>9039.2127341589403</v>
      </c>
      <c r="C1794">
        <v>78227.960000000006</v>
      </c>
      <c r="D1794">
        <v>11.038978453048101</v>
      </c>
      <c r="E1794">
        <v>330</v>
      </c>
      <c r="F1794" t="s">
        <v>195</v>
      </c>
    </row>
    <row r="1795" spans="1:6" x14ac:dyDescent="0.2">
      <c r="A1795" t="s">
        <v>11</v>
      </c>
      <c r="B1795">
        <v>9384.2561276151591</v>
      </c>
      <c r="C1795">
        <v>85542.04</v>
      </c>
      <c r="D1795">
        <v>11.1024970030467</v>
      </c>
      <c r="E1795">
        <v>330</v>
      </c>
      <c r="F1795" t="s">
        <v>195</v>
      </c>
    </row>
    <row r="1796" spans="1:6" x14ac:dyDescent="0.2">
      <c r="A1796" t="s">
        <v>6</v>
      </c>
      <c r="B1796">
        <v>10553.3478109926</v>
      </c>
      <c r="C1796">
        <v>26489.63</v>
      </c>
      <c r="D1796">
        <v>11.7922851359526</v>
      </c>
      <c r="E1796">
        <v>331</v>
      </c>
      <c r="F1796" t="s">
        <v>196</v>
      </c>
    </row>
    <row r="1797" spans="1:6" x14ac:dyDescent="0.2">
      <c r="A1797" t="s">
        <v>10</v>
      </c>
      <c r="B1797">
        <v>10858.3973325399</v>
      </c>
      <c r="C1797">
        <v>29825.8</v>
      </c>
      <c r="D1797">
        <v>11.7922851359526</v>
      </c>
      <c r="E1797">
        <v>331</v>
      </c>
      <c r="F1797" t="s">
        <v>196</v>
      </c>
    </row>
    <row r="1798" spans="1:6" x14ac:dyDescent="0.2">
      <c r="A1798" t="s">
        <v>11</v>
      </c>
      <c r="B1798">
        <v>11203.4581835835</v>
      </c>
      <c r="C1798">
        <v>85104.26</v>
      </c>
      <c r="D1798">
        <v>11.8467902874629</v>
      </c>
      <c r="E1798">
        <v>331</v>
      </c>
      <c r="F1798" t="s">
        <v>196</v>
      </c>
    </row>
    <row r="1799" spans="1:6" x14ac:dyDescent="0.2">
      <c r="A1799" t="s">
        <v>8</v>
      </c>
      <c r="B1799">
        <v>11532.485333381201</v>
      </c>
      <c r="C1799">
        <v>36735.96</v>
      </c>
      <c r="D1799">
        <v>12.0283913290183</v>
      </c>
      <c r="E1799">
        <v>331</v>
      </c>
      <c r="F1799" t="s">
        <v>196</v>
      </c>
    </row>
    <row r="1800" spans="1:6" x14ac:dyDescent="0.2">
      <c r="A1800" t="s">
        <v>10</v>
      </c>
      <c r="B1800">
        <v>7963.0270470856103</v>
      </c>
      <c r="C1800">
        <v>30190.18</v>
      </c>
      <c r="D1800">
        <v>10.3221977448146</v>
      </c>
      <c r="E1800">
        <v>343</v>
      </c>
      <c r="F1800" t="s">
        <v>197</v>
      </c>
    </row>
    <row r="1801" spans="1:6" x14ac:dyDescent="0.2">
      <c r="A1801" t="s">
        <v>9</v>
      </c>
      <c r="B1801">
        <v>8308.0692623092</v>
      </c>
      <c r="C1801">
        <v>64390.62</v>
      </c>
      <c r="D1801">
        <v>10.4129120862166</v>
      </c>
      <c r="E1801">
        <v>343</v>
      </c>
      <c r="F1801" t="s">
        <v>197</v>
      </c>
    </row>
    <row r="1802" spans="1:6" x14ac:dyDescent="0.2">
      <c r="A1802" t="s">
        <v>8</v>
      </c>
      <c r="B1802">
        <v>8614.0944006240898</v>
      </c>
      <c r="C1802">
        <v>45326.53</v>
      </c>
      <c r="D1802">
        <v>10.5898025528272</v>
      </c>
      <c r="E1802">
        <v>343</v>
      </c>
      <c r="F1802" t="s">
        <v>197</v>
      </c>
    </row>
    <row r="1803" spans="1:6" x14ac:dyDescent="0.2">
      <c r="A1803" t="s">
        <v>8</v>
      </c>
      <c r="B1803">
        <v>8943.1381180353492</v>
      </c>
      <c r="C1803">
        <v>59433.23</v>
      </c>
      <c r="D1803">
        <v>10.948215168285399</v>
      </c>
      <c r="E1803">
        <v>343</v>
      </c>
      <c r="F1803" t="s">
        <v>197</v>
      </c>
    </row>
    <row r="1804" spans="1:6" x14ac:dyDescent="0.2">
      <c r="A1804" t="s">
        <v>10</v>
      </c>
      <c r="B1804">
        <v>9272.2074796604702</v>
      </c>
      <c r="C1804">
        <v>32572.880000000001</v>
      </c>
      <c r="D1804">
        <v>11.1569425598462</v>
      </c>
      <c r="E1804">
        <v>343</v>
      </c>
      <c r="F1804" t="s">
        <v>197</v>
      </c>
    </row>
    <row r="1805" spans="1:6" x14ac:dyDescent="0.2">
      <c r="A1805" t="s">
        <v>11</v>
      </c>
      <c r="B1805">
        <v>9617.2491815239591</v>
      </c>
      <c r="C1805">
        <v>78769.27</v>
      </c>
      <c r="D1805">
        <v>11.4608730450948</v>
      </c>
      <c r="E1805">
        <v>343</v>
      </c>
      <c r="F1805" t="s">
        <v>197</v>
      </c>
    </row>
    <row r="1806" spans="1:6" x14ac:dyDescent="0.2">
      <c r="A1806" t="s">
        <v>9</v>
      </c>
      <c r="B1806">
        <v>3375.3714527207298</v>
      </c>
      <c r="C1806">
        <v>9172.18</v>
      </c>
      <c r="D1806">
        <v>3.6307195281664502</v>
      </c>
      <c r="E1806">
        <v>345</v>
      </c>
      <c r="F1806" t="s">
        <v>198</v>
      </c>
    </row>
    <row r="1807" spans="1:6" x14ac:dyDescent="0.2">
      <c r="A1807" t="s">
        <v>6</v>
      </c>
      <c r="B1807">
        <v>3681.4095890129302</v>
      </c>
      <c r="C1807">
        <v>33660.019999999997</v>
      </c>
      <c r="D1807">
        <v>4.4711309110800403</v>
      </c>
      <c r="E1807">
        <v>345</v>
      </c>
      <c r="F1807" t="s">
        <v>198</v>
      </c>
    </row>
    <row r="1808" spans="1:6" x14ac:dyDescent="0.2">
      <c r="A1808" t="s">
        <v>9</v>
      </c>
      <c r="B1808">
        <v>3986.4438919092099</v>
      </c>
      <c r="C1808">
        <v>19998.55</v>
      </c>
      <c r="D1808">
        <v>5.33877888676325</v>
      </c>
      <c r="E1808">
        <v>345</v>
      </c>
      <c r="F1808" t="s">
        <v>198</v>
      </c>
    </row>
    <row r="1809" spans="1:6" x14ac:dyDescent="0.2">
      <c r="A1809" t="s">
        <v>9</v>
      </c>
      <c r="B1809">
        <v>4292.4627936598999</v>
      </c>
      <c r="C1809">
        <v>64209.72</v>
      </c>
      <c r="D1809">
        <v>5.8811136698405004</v>
      </c>
      <c r="E1809">
        <v>345</v>
      </c>
      <c r="F1809" t="s">
        <v>198</v>
      </c>
    </row>
    <row r="1810" spans="1:6" x14ac:dyDescent="0.2">
      <c r="A1810" t="s">
        <v>8</v>
      </c>
      <c r="B1810">
        <v>4598.49671428899</v>
      </c>
      <c r="C1810">
        <v>46804.09</v>
      </c>
      <c r="D1810">
        <v>6.3919035450299599</v>
      </c>
      <c r="E1810">
        <v>345</v>
      </c>
      <c r="F1810" t="s">
        <v>198</v>
      </c>
    </row>
    <row r="1811" spans="1:6" x14ac:dyDescent="0.2">
      <c r="A1811" t="s">
        <v>11</v>
      </c>
      <c r="B1811">
        <v>4927.5476634061797</v>
      </c>
      <c r="C1811">
        <v>78264.47</v>
      </c>
      <c r="D1811">
        <v>7.1967074032306702</v>
      </c>
      <c r="E1811">
        <v>345</v>
      </c>
      <c r="F1811" t="s">
        <v>198</v>
      </c>
    </row>
    <row r="1812" spans="1:6" x14ac:dyDescent="0.2">
      <c r="A1812" t="s">
        <v>8</v>
      </c>
      <c r="B1812">
        <v>5256.5948637697602</v>
      </c>
      <c r="C1812">
        <v>13162.21</v>
      </c>
      <c r="D1812">
        <v>7.9477374529520697</v>
      </c>
      <c r="E1812">
        <v>345</v>
      </c>
      <c r="F1812" t="s">
        <v>198</v>
      </c>
    </row>
    <row r="1813" spans="1:6" x14ac:dyDescent="0.2">
      <c r="A1813" t="s">
        <v>10</v>
      </c>
      <c r="B1813">
        <v>7926.0033394803704</v>
      </c>
      <c r="C1813">
        <v>49371.77</v>
      </c>
      <c r="D1813">
        <v>10.558054118919401</v>
      </c>
      <c r="E1813">
        <v>348</v>
      </c>
      <c r="F1813" t="s">
        <v>199</v>
      </c>
    </row>
    <row r="1814" spans="1:6" x14ac:dyDescent="0.2">
      <c r="A1814" t="s">
        <v>11</v>
      </c>
      <c r="B1814">
        <v>8271.06808859585</v>
      </c>
      <c r="C1814">
        <v>78011.06</v>
      </c>
      <c r="D1814">
        <v>10.5308376963615</v>
      </c>
      <c r="E1814">
        <v>348</v>
      </c>
      <c r="F1814" t="s">
        <v>199</v>
      </c>
    </row>
    <row r="1815" spans="1:6" x14ac:dyDescent="0.2">
      <c r="A1815" t="s">
        <v>9</v>
      </c>
      <c r="B1815">
        <v>8577.0982070375194</v>
      </c>
      <c r="C1815">
        <v>70975.960000000006</v>
      </c>
      <c r="D1815">
        <v>10.712296018568701</v>
      </c>
      <c r="E1815">
        <v>348</v>
      </c>
      <c r="F1815" t="s">
        <v>199</v>
      </c>
    </row>
    <row r="1816" spans="1:6" x14ac:dyDescent="0.2">
      <c r="A1816" t="s">
        <v>9</v>
      </c>
      <c r="B1816">
        <v>8883.1266287534909</v>
      </c>
      <c r="C1816">
        <v>31231.58</v>
      </c>
      <c r="D1816">
        <v>10.8030253108025</v>
      </c>
      <c r="E1816">
        <v>348</v>
      </c>
      <c r="F1816" t="s">
        <v>199</v>
      </c>
    </row>
    <row r="1817" spans="1:6" x14ac:dyDescent="0.2">
      <c r="A1817" t="s">
        <v>6</v>
      </c>
      <c r="B1817">
        <v>9188.1607504595395</v>
      </c>
      <c r="C1817">
        <v>27093.09</v>
      </c>
      <c r="D1817">
        <v>10.9799767946879</v>
      </c>
      <c r="E1817">
        <v>348</v>
      </c>
      <c r="F1817" t="s">
        <v>199</v>
      </c>
    </row>
    <row r="1818" spans="1:6" x14ac:dyDescent="0.2">
      <c r="A1818" t="s">
        <v>8</v>
      </c>
      <c r="B1818">
        <v>9517.22868979739</v>
      </c>
      <c r="C1818">
        <v>46361.96</v>
      </c>
      <c r="D1818">
        <v>11.0117443616867</v>
      </c>
      <c r="E1818">
        <v>348</v>
      </c>
      <c r="F1818" t="s">
        <v>199</v>
      </c>
    </row>
    <row r="1819" spans="1:6" x14ac:dyDescent="0.2">
      <c r="A1819" t="s">
        <v>11</v>
      </c>
      <c r="B1819">
        <v>13553.771750341501</v>
      </c>
      <c r="C1819">
        <v>76931.33</v>
      </c>
      <c r="D1819">
        <v>12.7820076103687</v>
      </c>
      <c r="E1819">
        <v>351</v>
      </c>
      <c r="F1819" t="s">
        <v>200</v>
      </c>
    </row>
    <row r="1820" spans="1:6" x14ac:dyDescent="0.2">
      <c r="A1820" t="s">
        <v>6</v>
      </c>
      <c r="B1820">
        <v>13858.8032622874</v>
      </c>
      <c r="C1820">
        <v>23846</v>
      </c>
      <c r="D1820">
        <v>12.900063077179601</v>
      </c>
      <c r="E1820">
        <v>351</v>
      </c>
      <c r="F1820" t="s">
        <v>200</v>
      </c>
    </row>
    <row r="1821" spans="1:6" x14ac:dyDescent="0.2">
      <c r="A1821" t="s">
        <v>6</v>
      </c>
      <c r="B1821">
        <v>14163.841270148099</v>
      </c>
      <c r="C1821">
        <v>46189.91</v>
      </c>
      <c r="D1821">
        <v>12.927293385632799</v>
      </c>
      <c r="E1821">
        <v>351</v>
      </c>
      <c r="F1821" t="s">
        <v>200</v>
      </c>
    </row>
    <row r="1822" spans="1:6" x14ac:dyDescent="0.2">
      <c r="A1822" t="s">
        <v>6</v>
      </c>
      <c r="B1822">
        <v>14468.863002951201</v>
      </c>
      <c r="C1822">
        <v>69285.539999999994</v>
      </c>
      <c r="D1822">
        <v>12.8728223538081</v>
      </c>
      <c r="E1822">
        <v>351</v>
      </c>
      <c r="F1822" t="s">
        <v>200</v>
      </c>
    </row>
    <row r="1823" spans="1:6" x14ac:dyDescent="0.2">
      <c r="A1823" t="s">
        <v>6</v>
      </c>
      <c r="B1823">
        <v>14773.8748242283</v>
      </c>
      <c r="C1823">
        <v>21898.98</v>
      </c>
      <c r="D1823">
        <v>12.8728223538081</v>
      </c>
      <c r="E1823">
        <v>351</v>
      </c>
      <c r="F1823" t="s">
        <v>200</v>
      </c>
    </row>
    <row r="1824" spans="1:6" x14ac:dyDescent="0.2">
      <c r="A1824" t="s">
        <v>11</v>
      </c>
      <c r="B1824">
        <v>2788.3337790201599</v>
      </c>
      <c r="C1824">
        <v>76511.08</v>
      </c>
      <c r="D1824">
        <v>0.96089091854095499</v>
      </c>
      <c r="E1824">
        <v>353</v>
      </c>
      <c r="F1824" t="s">
        <v>201</v>
      </c>
    </row>
    <row r="1825" spans="1:6" x14ac:dyDescent="0.2">
      <c r="A1825" t="s">
        <v>8</v>
      </c>
      <c r="B1825">
        <v>3117.39131302238</v>
      </c>
      <c r="C1825">
        <v>62056.53</v>
      </c>
      <c r="D1825">
        <v>1.4126355623881</v>
      </c>
      <c r="E1825">
        <v>353</v>
      </c>
      <c r="F1825" t="s">
        <v>201</v>
      </c>
    </row>
    <row r="1826" spans="1:6" x14ac:dyDescent="0.2">
      <c r="A1826" t="s">
        <v>6</v>
      </c>
      <c r="B1826">
        <v>3422.4220515602201</v>
      </c>
      <c r="C1826">
        <v>16232.67</v>
      </c>
      <c r="D1826">
        <v>2.1896585698604598</v>
      </c>
      <c r="E1826">
        <v>353</v>
      </c>
      <c r="F1826" t="s">
        <v>201</v>
      </c>
    </row>
    <row r="1827" spans="1:6" x14ac:dyDescent="0.2">
      <c r="A1827" t="s">
        <v>6</v>
      </c>
      <c r="B1827">
        <v>3727.46809653526</v>
      </c>
      <c r="C1827">
        <v>10599.93</v>
      </c>
      <c r="D1827">
        <v>3.14734969493548</v>
      </c>
      <c r="E1827">
        <v>353</v>
      </c>
      <c r="F1827" t="s">
        <v>201</v>
      </c>
    </row>
    <row r="1828" spans="1:6" x14ac:dyDescent="0.2">
      <c r="A1828" t="s">
        <v>9</v>
      </c>
      <c r="B1828">
        <v>4033.47918314554</v>
      </c>
      <c r="C1828">
        <v>36646.97</v>
      </c>
      <c r="D1828">
        <v>5.7590797618706997</v>
      </c>
      <c r="E1828">
        <v>353</v>
      </c>
      <c r="F1828" t="s">
        <v>201</v>
      </c>
    </row>
    <row r="1829" spans="1:6" x14ac:dyDescent="0.2">
      <c r="A1829" t="s">
        <v>8</v>
      </c>
      <c r="B1829">
        <v>4362.5363420125104</v>
      </c>
      <c r="C1829">
        <v>49588.23</v>
      </c>
      <c r="D1829">
        <v>7.0791212037881204</v>
      </c>
      <c r="E1829">
        <v>353</v>
      </c>
      <c r="F1829" t="s">
        <v>201</v>
      </c>
    </row>
    <row r="1830" spans="1:6" x14ac:dyDescent="0.2">
      <c r="A1830" t="s">
        <v>8</v>
      </c>
      <c r="B1830">
        <v>4691.59156255578</v>
      </c>
      <c r="C1830">
        <v>35027.300000000003</v>
      </c>
      <c r="D1830">
        <v>7.7395614460786204</v>
      </c>
      <c r="E1830">
        <v>353</v>
      </c>
      <c r="F1830" t="s">
        <v>201</v>
      </c>
    </row>
    <row r="1831" spans="1:6" x14ac:dyDescent="0.2">
      <c r="A1831" t="s">
        <v>6</v>
      </c>
      <c r="B1831">
        <v>4996.6357396336998</v>
      </c>
      <c r="C1831">
        <v>41775.410000000003</v>
      </c>
      <c r="D1831">
        <v>7.7395614460786204</v>
      </c>
      <c r="E1831">
        <v>353</v>
      </c>
      <c r="F1831" t="s">
        <v>201</v>
      </c>
    </row>
    <row r="1832" spans="1:6" x14ac:dyDescent="0.2">
      <c r="A1832" t="s">
        <v>8</v>
      </c>
      <c r="B1832">
        <v>3165.4099517903501</v>
      </c>
      <c r="C1832">
        <v>64315.83</v>
      </c>
      <c r="D1832">
        <v>3.26931646025976</v>
      </c>
      <c r="E1832">
        <v>357</v>
      </c>
      <c r="F1832" t="s">
        <v>202</v>
      </c>
    </row>
    <row r="1833" spans="1:6" x14ac:dyDescent="0.2">
      <c r="A1833" t="s">
        <v>11</v>
      </c>
      <c r="B1833">
        <v>3494.4495627658698</v>
      </c>
      <c r="C1833">
        <v>75642.559999999998</v>
      </c>
      <c r="D1833">
        <v>5.0088751530329398</v>
      </c>
      <c r="E1833">
        <v>357</v>
      </c>
      <c r="F1833" t="s">
        <v>202</v>
      </c>
    </row>
    <row r="1834" spans="1:6" x14ac:dyDescent="0.2">
      <c r="A1834" t="s">
        <v>9</v>
      </c>
      <c r="B1834">
        <v>3800.4967415091101</v>
      </c>
      <c r="C1834">
        <v>68697</v>
      </c>
      <c r="D1834">
        <v>3.3912873859882402</v>
      </c>
      <c r="E1834">
        <v>357</v>
      </c>
      <c r="F1834" t="s">
        <v>202</v>
      </c>
    </row>
    <row r="1835" spans="1:6" x14ac:dyDescent="0.2">
      <c r="A1835" t="s">
        <v>9</v>
      </c>
      <c r="B1835">
        <v>4106.5150970434397</v>
      </c>
      <c r="C1835">
        <v>12143.16</v>
      </c>
      <c r="D1835">
        <v>6.32862172878583</v>
      </c>
      <c r="E1835">
        <v>357</v>
      </c>
      <c r="F1835" t="s">
        <v>202</v>
      </c>
    </row>
    <row r="1836" spans="1:6" x14ac:dyDescent="0.2">
      <c r="A1836" t="s">
        <v>11</v>
      </c>
      <c r="B1836">
        <v>3297.3298843712901</v>
      </c>
      <c r="C1836">
        <v>75408.899999999994</v>
      </c>
      <c r="D1836">
        <v>3.8069280381679498</v>
      </c>
      <c r="E1836">
        <v>358</v>
      </c>
      <c r="F1836" t="s">
        <v>203</v>
      </c>
    </row>
    <row r="1837" spans="1:6" x14ac:dyDescent="0.2">
      <c r="A1837" t="s">
        <v>9</v>
      </c>
      <c r="B1837">
        <v>3603.3570291996698</v>
      </c>
      <c r="C1837">
        <v>27281.13</v>
      </c>
      <c r="D1837">
        <v>4.6473744447708096</v>
      </c>
      <c r="E1837">
        <v>358</v>
      </c>
      <c r="F1837" t="s">
        <v>203</v>
      </c>
    </row>
    <row r="1838" spans="1:6" x14ac:dyDescent="0.2">
      <c r="A1838" t="s">
        <v>6</v>
      </c>
      <c r="B1838">
        <v>3908.39586406837</v>
      </c>
      <c r="C1838">
        <v>48153.06</v>
      </c>
      <c r="D1838">
        <v>5.33877888676325</v>
      </c>
      <c r="E1838">
        <v>358</v>
      </c>
      <c r="F1838" t="s">
        <v>203</v>
      </c>
    </row>
    <row r="1839" spans="1:6" x14ac:dyDescent="0.2">
      <c r="A1839" t="s">
        <v>6</v>
      </c>
      <c r="B1839">
        <v>4213.4419785213004</v>
      </c>
      <c r="C1839">
        <v>29907.02</v>
      </c>
      <c r="D1839">
        <v>5.8223578448772404</v>
      </c>
      <c r="E1839">
        <v>358</v>
      </c>
      <c r="F1839" t="s">
        <v>203</v>
      </c>
    </row>
    <row r="1840" spans="1:6" x14ac:dyDescent="0.2">
      <c r="A1840" t="s">
        <v>8</v>
      </c>
      <c r="B1840">
        <v>4542.4901375536501</v>
      </c>
      <c r="C1840">
        <v>44515.54</v>
      </c>
      <c r="D1840">
        <v>6.6631430204391497</v>
      </c>
      <c r="E1840">
        <v>358</v>
      </c>
      <c r="F1840" t="s">
        <v>203</v>
      </c>
    </row>
    <row r="1841" spans="1:6" x14ac:dyDescent="0.2">
      <c r="A1841" t="s">
        <v>6</v>
      </c>
      <c r="B1841">
        <v>4847.5287170232796</v>
      </c>
      <c r="C1841">
        <v>47471.71</v>
      </c>
      <c r="D1841">
        <v>7.0203313028494501</v>
      </c>
      <c r="E1841">
        <v>358</v>
      </c>
      <c r="F1841" t="s">
        <v>203</v>
      </c>
    </row>
    <row r="1842" spans="1:6" x14ac:dyDescent="0.2">
      <c r="A1842" t="s">
        <v>9</v>
      </c>
      <c r="B1842">
        <v>7848.0433079136801</v>
      </c>
      <c r="C1842">
        <v>38795.120000000003</v>
      </c>
      <c r="D1842">
        <v>10.1407615458647</v>
      </c>
      <c r="E1842">
        <v>359</v>
      </c>
      <c r="F1842" t="s">
        <v>204</v>
      </c>
    </row>
    <row r="1843" spans="1:6" x14ac:dyDescent="0.2">
      <c r="A1843" t="s">
        <v>9</v>
      </c>
      <c r="B1843">
        <v>8154.08286207534</v>
      </c>
      <c r="C1843">
        <v>30926.74</v>
      </c>
      <c r="D1843">
        <v>10.3221977448146</v>
      </c>
      <c r="E1843">
        <v>359</v>
      </c>
      <c r="F1843" t="s">
        <v>204</v>
      </c>
    </row>
    <row r="1844" spans="1:6" x14ac:dyDescent="0.2">
      <c r="A1844" t="s">
        <v>10</v>
      </c>
      <c r="B1844">
        <v>8460.0890938501998</v>
      </c>
      <c r="C1844">
        <v>42873.88</v>
      </c>
      <c r="D1844">
        <v>10.4673234378974</v>
      </c>
      <c r="E1844">
        <v>359</v>
      </c>
      <c r="F1844" t="s">
        <v>204</v>
      </c>
    </row>
    <row r="1845" spans="1:6" x14ac:dyDescent="0.2">
      <c r="A1845" t="s">
        <v>8</v>
      </c>
      <c r="B1845">
        <v>8805.1341496004607</v>
      </c>
      <c r="C1845">
        <v>24013.83</v>
      </c>
      <c r="D1845">
        <v>10.712296018568701</v>
      </c>
      <c r="E1845">
        <v>359</v>
      </c>
      <c r="F1845" t="s">
        <v>204</v>
      </c>
    </row>
    <row r="1846" spans="1:6" x14ac:dyDescent="0.2">
      <c r="A1846" t="s">
        <v>9</v>
      </c>
      <c r="B1846">
        <v>9134.2102843873799</v>
      </c>
      <c r="C1846">
        <v>66684.2</v>
      </c>
      <c r="D1846">
        <v>10.920996711222299</v>
      </c>
      <c r="E1846">
        <v>359</v>
      </c>
      <c r="F1846" t="s">
        <v>204</v>
      </c>
    </row>
    <row r="1847" spans="1:6" x14ac:dyDescent="0.2">
      <c r="A1847" t="s">
        <v>11</v>
      </c>
      <c r="B1847">
        <v>9440.2175977580791</v>
      </c>
      <c r="C1847">
        <v>75087.05</v>
      </c>
      <c r="D1847">
        <v>11.070738935041399</v>
      </c>
      <c r="E1847">
        <v>359</v>
      </c>
      <c r="F1847" t="s">
        <v>204</v>
      </c>
    </row>
    <row r="1848" spans="1:6" x14ac:dyDescent="0.2">
      <c r="A1848" t="s">
        <v>9</v>
      </c>
      <c r="B1848">
        <v>9746.2838959193905</v>
      </c>
      <c r="C1848">
        <v>33463.339999999997</v>
      </c>
      <c r="D1848">
        <v>11.1024970030467</v>
      </c>
      <c r="E1848">
        <v>359</v>
      </c>
      <c r="F1848" t="s">
        <v>204</v>
      </c>
    </row>
    <row r="1849" spans="1:6" x14ac:dyDescent="0.2">
      <c r="A1849" t="s">
        <v>6</v>
      </c>
      <c r="B1849">
        <v>8739.2271953541695</v>
      </c>
      <c r="C1849">
        <v>25075.38</v>
      </c>
      <c r="D1849">
        <v>11.247654928334599</v>
      </c>
      <c r="E1849">
        <v>361</v>
      </c>
      <c r="F1849" t="s">
        <v>205</v>
      </c>
    </row>
    <row r="1850" spans="1:6" x14ac:dyDescent="0.2">
      <c r="A1850" t="s">
        <v>11</v>
      </c>
      <c r="B1850">
        <v>9044.2622868780709</v>
      </c>
      <c r="C1850">
        <v>74664.990000000005</v>
      </c>
      <c r="D1850">
        <v>11.247654928334599</v>
      </c>
      <c r="E1850">
        <v>361</v>
      </c>
      <c r="F1850" t="s">
        <v>205</v>
      </c>
    </row>
    <row r="1851" spans="1:6" x14ac:dyDescent="0.2">
      <c r="A1851" t="s">
        <v>6</v>
      </c>
      <c r="B1851">
        <v>9349.2416744148304</v>
      </c>
      <c r="C1851">
        <v>40230.18</v>
      </c>
      <c r="D1851">
        <v>11.2794166938146</v>
      </c>
      <c r="E1851">
        <v>361</v>
      </c>
      <c r="F1851" t="s">
        <v>205</v>
      </c>
    </row>
    <row r="1852" spans="1:6" x14ac:dyDescent="0.2">
      <c r="A1852" t="s">
        <v>9</v>
      </c>
      <c r="B1852">
        <v>9655.2564916311694</v>
      </c>
      <c r="C1852">
        <v>27997</v>
      </c>
      <c r="D1852">
        <v>11.33837376194</v>
      </c>
      <c r="E1852">
        <v>361</v>
      </c>
      <c r="F1852" t="s">
        <v>205</v>
      </c>
    </row>
    <row r="1853" spans="1:6" x14ac:dyDescent="0.2">
      <c r="A1853" t="s">
        <v>6</v>
      </c>
      <c r="B1853">
        <v>3542.4540923222698</v>
      </c>
      <c r="C1853">
        <v>8763.27</v>
      </c>
      <c r="D1853">
        <v>3.41839412010511</v>
      </c>
      <c r="E1853">
        <v>366</v>
      </c>
      <c r="F1853" t="s">
        <v>206</v>
      </c>
    </row>
    <row r="1854" spans="1:6" x14ac:dyDescent="0.2">
      <c r="A1854" t="s">
        <v>8</v>
      </c>
      <c r="B1854">
        <v>3847.4913895232698</v>
      </c>
      <c r="C1854">
        <v>11887.68</v>
      </c>
      <c r="D1854">
        <v>4.2000071938514703</v>
      </c>
      <c r="E1854">
        <v>366</v>
      </c>
      <c r="F1854" t="s">
        <v>206</v>
      </c>
    </row>
    <row r="1855" spans="1:6" x14ac:dyDescent="0.2">
      <c r="A1855" t="s">
        <v>6</v>
      </c>
      <c r="B1855">
        <v>4176.53908223093</v>
      </c>
      <c r="C1855">
        <v>51784.08</v>
      </c>
      <c r="D1855">
        <v>5.2800288613319397</v>
      </c>
      <c r="E1855">
        <v>366</v>
      </c>
      <c r="F1855" t="s">
        <v>206</v>
      </c>
    </row>
    <row r="1856" spans="1:6" x14ac:dyDescent="0.2">
      <c r="A1856" t="s">
        <v>11</v>
      </c>
      <c r="B1856">
        <v>4481.5752105219599</v>
      </c>
      <c r="C1856">
        <v>72985.919999999998</v>
      </c>
      <c r="D1856">
        <v>5.7590797618706997</v>
      </c>
      <c r="E1856">
        <v>366</v>
      </c>
      <c r="F1856" t="s">
        <v>206</v>
      </c>
    </row>
    <row r="1857" spans="1:6" x14ac:dyDescent="0.2">
      <c r="A1857" t="s">
        <v>11</v>
      </c>
      <c r="B1857">
        <v>2504.25992329563</v>
      </c>
      <c r="C1857">
        <v>72732.479999999996</v>
      </c>
      <c r="D1857">
        <v>0.98799588637351998</v>
      </c>
      <c r="E1857">
        <v>367</v>
      </c>
      <c r="F1857" t="s">
        <v>207</v>
      </c>
    </row>
    <row r="1858" spans="1:6" x14ac:dyDescent="0.2">
      <c r="A1858" t="s">
        <v>10</v>
      </c>
      <c r="B1858">
        <v>2849.3050993468401</v>
      </c>
      <c r="C1858">
        <v>24346.25</v>
      </c>
      <c r="D1858">
        <v>1.5300949628830001</v>
      </c>
      <c r="E1858">
        <v>367</v>
      </c>
      <c r="F1858" t="s">
        <v>207</v>
      </c>
    </row>
    <row r="1859" spans="1:6" x14ac:dyDescent="0.2">
      <c r="A1859" t="s">
        <v>10</v>
      </c>
      <c r="B1859">
        <v>3194.3635721614501</v>
      </c>
      <c r="C1859">
        <v>37133.43</v>
      </c>
      <c r="D1859">
        <v>2.4607023771285998</v>
      </c>
      <c r="E1859">
        <v>367</v>
      </c>
      <c r="F1859" t="s">
        <v>207</v>
      </c>
    </row>
    <row r="1860" spans="1:6" x14ac:dyDescent="0.2">
      <c r="A1860" t="s">
        <v>9</v>
      </c>
      <c r="B1860">
        <v>3500.3749403061502</v>
      </c>
      <c r="C1860">
        <v>23266.1</v>
      </c>
      <c r="D1860">
        <v>3.7527103777408599</v>
      </c>
      <c r="E1860">
        <v>367</v>
      </c>
      <c r="F1860" t="s">
        <v>207</v>
      </c>
    </row>
    <row r="1861" spans="1:6" x14ac:dyDescent="0.2">
      <c r="A1861" t="s">
        <v>6</v>
      </c>
      <c r="B1861">
        <v>3805.4177310796099</v>
      </c>
      <c r="C1861">
        <v>31292.959999999999</v>
      </c>
      <c r="D1861">
        <v>4.4711309110800403</v>
      </c>
      <c r="E1861">
        <v>367</v>
      </c>
      <c r="F1861" t="s">
        <v>207</v>
      </c>
    </row>
    <row r="1862" spans="1:6" x14ac:dyDescent="0.2">
      <c r="A1862" t="s">
        <v>10</v>
      </c>
      <c r="B1862">
        <v>4150.4584256481403</v>
      </c>
      <c r="C1862">
        <v>11651.1</v>
      </c>
      <c r="D1862">
        <v>5.2800288613319397</v>
      </c>
      <c r="E1862">
        <v>367</v>
      </c>
      <c r="F1862" t="s">
        <v>207</v>
      </c>
    </row>
    <row r="1863" spans="1:6" x14ac:dyDescent="0.2">
      <c r="A1863" t="s">
        <v>6</v>
      </c>
      <c r="B1863">
        <v>4455.5086921111897</v>
      </c>
      <c r="C1863">
        <v>12191.95</v>
      </c>
      <c r="D1863">
        <v>5.7003263032118499</v>
      </c>
      <c r="E1863">
        <v>367</v>
      </c>
      <c r="F1863" t="s">
        <v>207</v>
      </c>
    </row>
    <row r="1864" spans="1:6" x14ac:dyDescent="0.2">
      <c r="A1864" t="s">
        <v>9</v>
      </c>
      <c r="B1864">
        <v>10324.3553047283</v>
      </c>
      <c r="C1864">
        <v>59463.38</v>
      </c>
      <c r="D1864">
        <v>11.583410552708299</v>
      </c>
      <c r="E1864">
        <v>368</v>
      </c>
      <c r="F1864" t="s">
        <v>208</v>
      </c>
    </row>
    <row r="1865" spans="1:6" x14ac:dyDescent="0.2">
      <c r="A1865" t="s">
        <v>9</v>
      </c>
      <c r="B1865">
        <v>10630.380171519801</v>
      </c>
      <c r="C1865">
        <v>58530.53</v>
      </c>
      <c r="D1865">
        <v>11.6696680104415</v>
      </c>
      <c r="E1865">
        <v>368</v>
      </c>
      <c r="F1865" t="s">
        <v>208</v>
      </c>
    </row>
    <row r="1866" spans="1:6" x14ac:dyDescent="0.2">
      <c r="A1866" t="s">
        <v>6</v>
      </c>
      <c r="B1866">
        <v>10936.4309974022</v>
      </c>
      <c r="C1866">
        <v>29507.31</v>
      </c>
      <c r="D1866">
        <v>11.760499419339499</v>
      </c>
      <c r="E1866">
        <v>368</v>
      </c>
      <c r="F1866" t="s">
        <v>208</v>
      </c>
    </row>
    <row r="1867" spans="1:6" x14ac:dyDescent="0.2">
      <c r="A1867" t="s">
        <v>6</v>
      </c>
      <c r="B1867">
        <v>11241.4573628325</v>
      </c>
      <c r="C1867">
        <v>56878.559999999998</v>
      </c>
      <c r="D1867">
        <v>11.7922851359526</v>
      </c>
      <c r="E1867">
        <v>368</v>
      </c>
      <c r="F1867" t="s">
        <v>208</v>
      </c>
    </row>
    <row r="1868" spans="1:6" x14ac:dyDescent="0.2">
      <c r="A1868" t="s">
        <v>11</v>
      </c>
      <c r="B1868">
        <v>11546.4870116728</v>
      </c>
      <c r="C1868">
        <v>72662.22</v>
      </c>
      <c r="D1868">
        <v>11.8831181362947</v>
      </c>
      <c r="E1868">
        <v>368</v>
      </c>
      <c r="F1868" t="s">
        <v>208</v>
      </c>
    </row>
    <row r="1869" spans="1:6" x14ac:dyDescent="0.2">
      <c r="A1869" t="s">
        <v>8</v>
      </c>
      <c r="B1869">
        <v>11875.5064978382</v>
      </c>
      <c r="C1869">
        <v>17541.27</v>
      </c>
      <c r="D1869">
        <v>12.119200412003201</v>
      </c>
      <c r="E1869">
        <v>368</v>
      </c>
      <c r="F1869" t="s">
        <v>208</v>
      </c>
    </row>
    <row r="1870" spans="1:6" x14ac:dyDescent="0.2">
      <c r="A1870" t="s">
        <v>10</v>
      </c>
      <c r="B1870">
        <v>12220.5671953045</v>
      </c>
      <c r="C1870">
        <v>70287</v>
      </c>
      <c r="D1870">
        <v>12.1464402790546</v>
      </c>
      <c r="E1870">
        <v>368</v>
      </c>
      <c r="F1870" t="s">
        <v>208</v>
      </c>
    </row>
    <row r="1871" spans="1:6" x14ac:dyDescent="0.2">
      <c r="A1871" t="s">
        <v>9</v>
      </c>
      <c r="B1871">
        <v>12526.6035760836</v>
      </c>
      <c r="C1871">
        <v>18258.34</v>
      </c>
      <c r="D1871">
        <v>12.1464402790546</v>
      </c>
      <c r="E1871">
        <v>368</v>
      </c>
      <c r="F1871" t="s">
        <v>208</v>
      </c>
    </row>
    <row r="1872" spans="1:6" x14ac:dyDescent="0.2">
      <c r="A1872" t="s">
        <v>6</v>
      </c>
      <c r="B1872">
        <v>3440.43632696849</v>
      </c>
      <c r="C1872">
        <v>55795.38</v>
      </c>
      <c r="D1872">
        <v>2.7904798205375698</v>
      </c>
      <c r="E1872">
        <v>369</v>
      </c>
      <c r="F1872" t="s">
        <v>209</v>
      </c>
    </row>
    <row r="1873" spans="1:6" x14ac:dyDescent="0.2">
      <c r="A1873" t="s">
        <v>11</v>
      </c>
      <c r="B1873">
        <v>3745.4794165702101</v>
      </c>
      <c r="C1873">
        <v>72120.13</v>
      </c>
      <c r="D1873">
        <v>3.8069280381679498</v>
      </c>
      <c r="E1873">
        <v>369</v>
      </c>
      <c r="F1873" t="s">
        <v>209</v>
      </c>
    </row>
    <row r="1874" spans="1:6" x14ac:dyDescent="0.2">
      <c r="A1874" t="s">
        <v>6</v>
      </c>
      <c r="B1874">
        <v>4050.5225126272298</v>
      </c>
      <c r="C1874">
        <v>51154.92</v>
      </c>
      <c r="D1874">
        <v>4.4711309110800403</v>
      </c>
      <c r="E1874">
        <v>369</v>
      </c>
      <c r="F1874" t="s">
        <v>209</v>
      </c>
    </row>
    <row r="1875" spans="1:6" x14ac:dyDescent="0.2">
      <c r="A1875" t="s">
        <v>6</v>
      </c>
      <c r="B1875">
        <v>4355.5653076066801</v>
      </c>
      <c r="C1875">
        <v>34579.35</v>
      </c>
      <c r="D1875">
        <v>5.0088751530329398</v>
      </c>
      <c r="E1875">
        <v>369</v>
      </c>
      <c r="F1875" t="s">
        <v>209</v>
      </c>
    </row>
    <row r="1876" spans="1:6" x14ac:dyDescent="0.2">
      <c r="A1876" t="s">
        <v>9</v>
      </c>
      <c r="B1876">
        <v>4661.5952358950999</v>
      </c>
      <c r="C1876">
        <v>69929.88</v>
      </c>
      <c r="D1876">
        <v>5.5782960291385599</v>
      </c>
      <c r="E1876">
        <v>369</v>
      </c>
      <c r="F1876" t="s">
        <v>209</v>
      </c>
    </row>
    <row r="1877" spans="1:6" x14ac:dyDescent="0.2">
      <c r="A1877" t="s">
        <v>6</v>
      </c>
      <c r="B1877">
        <v>4966.6279646594203</v>
      </c>
      <c r="C1877">
        <v>64567.47</v>
      </c>
      <c r="D1877">
        <v>6.0031435604572296</v>
      </c>
      <c r="E1877">
        <v>369</v>
      </c>
      <c r="F1877" t="s">
        <v>209</v>
      </c>
    </row>
    <row r="1878" spans="1:6" x14ac:dyDescent="0.2">
      <c r="A1878" t="s">
        <v>6</v>
      </c>
      <c r="B1878">
        <v>5271.6724847224896</v>
      </c>
      <c r="C1878">
        <v>54940.7</v>
      </c>
      <c r="D1878">
        <v>6.32862172878583</v>
      </c>
      <c r="E1878">
        <v>369</v>
      </c>
      <c r="F1878" t="s">
        <v>209</v>
      </c>
    </row>
    <row r="1879" spans="1:6" x14ac:dyDescent="0.2">
      <c r="A1879" t="s">
        <v>8</v>
      </c>
      <c r="B1879">
        <v>8967.1480636827691</v>
      </c>
      <c r="C1879">
        <v>33502.39</v>
      </c>
      <c r="D1879">
        <v>11.247654928334599</v>
      </c>
      <c r="E1879">
        <v>373</v>
      </c>
      <c r="F1879" t="s">
        <v>210</v>
      </c>
    </row>
    <row r="1880" spans="1:6" x14ac:dyDescent="0.2">
      <c r="A1880" t="s">
        <v>11</v>
      </c>
      <c r="B1880">
        <v>9296.2155862530508</v>
      </c>
      <c r="C1880">
        <v>71557.350000000006</v>
      </c>
      <c r="D1880">
        <v>10.6215575611273</v>
      </c>
      <c r="E1880">
        <v>373</v>
      </c>
      <c r="F1880" t="s">
        <v>210</v>
      </c>
    </row>
    <row r="1881" spans="1:6" x14ac:dyDescent="0.2">
      <c r="A1881" t="s">
        <v>6</v>
      </c>
      <c r="B1881">
        <v>9601.25884990337</v>
      </c>
      <c r="C1881">
        <v>39399.1</v>
      </c>
      <c r="D1881">
        <v>10.7395170028687</v>
      </c>
      <c r="E1881">
        <v>373</v>
      </c>
      <c r="F1881" t="s">
        <v>210</v>
      </c>
    </row>
    <row r="1882" spans="1:6" x14ac:dyDescent="0.2">
      <c r="A1882" t="s">
        <v>8</v>
      </c>
      <c r="B1882">
        <v>9930.2885999532391</v>
      </c>
      <c r="C1882">
        <v>68314.759999999995</v>
      </c>
      <c r="D1882">
        <v>11.0117443616867</v>
      </c>
      <c r="E1882">
        <v>373</v>
      </c>
      <c r="F1882" t="s">
        <v>210</v>
      </c>
    </row>
    <row r="1883" spans="1:6" x14ac:dyDescent="0.2">
      <c r="A1883" t="s">
        <v>11</v>
      </c>
      <c r="B1883">
        <v>5317.6809024316499</v>
      </c>
      <c r="C1883">
        <v>69690.880000000005</v>
      </c>
      <c r="D1883">
        <v>7.9205819860776296</v>
      </c>
      <c r="E1883">
        <v>382</v>
      </c>
      <c r="F1883" t="s">
        <v>211</v>
      </c>
    </row>
    <row r="1884" spans="1:6" x14ac:dyDescent="0.2">
      <c r="A1884" t="s">
        <v>10</v>
      </c>
      <c r="B1884">
        <v>5662.7280951859902</v>
      </c>
      <c r="C1884">
        <v>63640.1</v>
      </c>
      <c r="D1884">
        <v>8.3733119284788806</v>
      </c>
      <c r="E1884">
        <v>382</v>
      </c>
      <c r="F1884" t="s">
        <v>211</v>
      </c>
    </row>
    <row r="1885" spans="1:6" x14ac:dyDescent="0.2">
      <c r="A1885" t="s">
        <v>9</v>
      </c>
      <c r="B1885">
        <v>5968.7646008887396</v>
      </c>
      <c r="C1885">
        <v>44483.08</v>
      </c>
      <c r="D1885">
        <v>8.5816215947945906</v>
      </c>
      <c r="E1885">
        <v>382</v>
      </c>
      <c r="F1885" t="s">
        <v>211</v>
      </c>
    </row>
    <row r="1886" spans="1:6" x14ac:dyDescent="0.2">
      <c r="A1886" t="s">
        <v>8</v>
      </c>
      <c r="B1886">
        <v>6297.8073525043601</v>
      </c>
      <c r="C1886">
        <v>27264.25</v>
      </c>
      <c r="D1886">
        <v>9.0891361212412498</v>
      </c>
      <c r="E1886">
        <v>382</v>
      </c>
      <c r="F1886" t="s">
        <v>211</v>
      </c>
    </row>
    <row r="1887" spans="1:6" x14ac:dyDescent="0.2">
      <c r="A1887" t="s">
        <v>10</v>
      </c>
      <c r="B1887">
        <v>3342.4711086110801</v>
      </c>
      <c r="C1887">
        <v>8678.35</v>
      </c>
      <c r="D1887">
        <v>4.5931445117473597</v>
      </c>
      <c r="E1887">
        <v>387</v>
      </c>
      <c r="F1887" t="s">
        <v>212</v>
      </c>
    </row>
    <row r="1888" spans="1:6" x14ac:dyDescent="0.2">
      <c r="A1888" t="s">
        <v>6</v>
      </c>
      <c r="B1888">
        <v>3687.5166485261898</v>
      </c>
      <c r="C1888">
        <v>5451.51</v>
      </c>
      <c r="D1888">
        <v>5.3975297287782</v>
      </c>
      <c r="E1888">
        <v>387</v>
      </c>
      <c r="F1888" t="s">
        <v>212</v>
      </c>
    </row>
    <row r="1889" spans="1:6" x14ac:dyDescent="0.2">
      <c r="A1889" t="s">
        <v>8</v>
      </c>
      <c r="B1889">
        <v>3992.5547803925801</v>
      </c>
      <c r="C1889">
        <v>5317.17</v>
      </c>
      <c r="D1889">
        <v>5.6686851596514396</v>
      </c>
      <c r="E1889">
        <v>387</v>
      </c>
      <c r="F1889" t="s">
        <v>212</v>
      </c>
    </row>
    <row r="1890" spans="1:6" x14ac:dyDescent="0.2">
      <c r="A1890" t="s">
        <v>8</v>
      </c>
      <c r="B1890">
        <v>4321.6148309159898</v>
      </c>
      <c r="C1890">
        <v>54351</v>
      </c>
      <c r="D1890">
        <v>6.5094394937833204</v>
      </c>
      <c r="E1890">
        <v>387</v>
      </c>
      <c r="F1890" t="s">
        <v>212</v>
      </c>
    </row>
    <row r="1891" spans="1:6" x14ac:dyDescent="0.2">
      <c r="A1891" t="s">
        <v>11</v>
      </c>
      <c r="B1891">
        <v>4650.6775716704897</v>
      </c>
      <c r="C1891">
        <v>69327.61</v>
      </c>
      <c r="D1891">
        <v>7.3504987692515096</v>
      </c>
      <c r="E1891">
        <v>387</v>
      </c>
      <c r="F1891" t="s">
        <v>212</v>
      </c>
    </row>
    <row r="1892" spans="1:6" x14ac:dyDescent="0.2">
      <c r="A1892" t="s">
        <v>9</v>
      </c>
      <c r="B1892">
        <v>10903.4082434051</v>
      </c>
      <c r="C1892">
        <v>57477.63</v>
      </c>
      <c r="D1892">
        <v>12.001149969863899</v>
      </c>
      <c r="E1892">
        <v>389</v>
      </c>
      <c r="F1892" t="s">
        <v>213</v>
      </c>
    </row>
    <row r="1893" spans="1:6" x14ac:dyDescent="0.2">
      <c r="A1893" t="s">
        <v>11</v>
      </c>
      <c r="B1893">
        <v>11209.423090335</v>
      </c>
      <c r="C1893">
        <v>68877.69</v>
      </c>
      <c r="D1893">
        <v>12.0283913290183</v>
      </c>
      <c r="E1893">
        <v>389</v>
      </c>
      <c r="F1893" t="s">
        <v>213</v>
      </c>
    </row>
    <row r="1894" spans="1:6" x14ac:dyDescent="0.2">
      <c r="A1894" t="s">
        <v>6</v>
      </c>
      <c r="B1894">
        <v>11514.4389334718</v>
      </c>
      <c r="C1894">
        <v>48827.22</v>
      </c>
      <c r="D1894">
        <v>12.060182310708401</v>
      </c>
      <c r="E1894">
        <v>389</v>
      </c>
      <c r="F1894" t="s">
        <v>213</v>
      </c>
    </row>
    <row r="1895" spans="1:6" x14ac:dyDescent="0.2">
      <c r="A1895" t="s">
        <v>6</v>
      </c>
      <c r="B1895">
        <v>11819.5017203439</v>
      </c>
      <c r="C1895">
        <v>34233.56</v>
      </c>
      <c r="D1895">
        <v>12.1464402790546</v>
      </c>
      <c r="E1895">
        <v>389</v>
      </c>
      <c r="F1895" t="s">
        <v>213</v>
      </c>
    </row>
    <row r="1896" spans="1:6" x14ac:dyDescent="0.2">
      <c r="A1896" t="s">
        <v>11</v>
      </c>
      <c r="B1896">
        <v>2892.4085671997</v>
      </c>
      <c r="C1896">
        <v>68513.95</v>
      </c>
      <c r="D1896">
        <v>1.64755338784854</v>
      </c>
      <c r="E1896">
        <v>391</v>
      </c>
      <c r="F1896" t="s">
        <v>214</v>
      </c>
    </row>
    <row r="1897" spans="1:6" x14ac:dyDescent="0.2">
      <c r="A1897" t="s">
        <v>6</v>
      </c>
      <c r="B1897">
        <v>3197.44893253378</v>
      </c>
      <c r="C1897">
        <v>30530.54</v>
      </c>
      <c r="D1897">
        <v>2.55105825222333</v>
      </c>
      <c r="E1897">
        <v>391</v>
      </c>
      <c r="F1897" t="s">
        <v>214</v>
      </c>
    </row>
    <row r="1898" spans="1:6" x14ac:dyDescent="0.2">
      <c r="A1898" t="s">
        <v>6</v>
      </c>
      <c r="B1898">
        <v>3502.4883215079499</v>
      </c>
      <c r="C1898">
        <v>18107.490000000002</v>
      </c>
      <c r="D1898">
        <v>3.5719884033680001</v>
      </c>
      <c r="E1898">
        <v>391</v>
      </c>
      <c r="F1898" t="s">
        <v>214</v>
      </c>
    </row>
    <row r="1899" spans="1:6" x14ac:dyDescent="0.2">
      <c r="A1899" t="s">
        <v>10</v>
      </c>
      <c r="B1899">
        <v>3847.5387741780501</v>
      </c>
      <c r="C1899">
        <v>39516.58</v>
      </c>
      <c r="D1899">
        <v>4.4711309110800403</v>
      </c>
      <c r="E1899">
        <v>391</v>
      </c>
      <c r="F1899" t="s">
        <v>214</v>
      </c>
    </row>
    <row r="1900" spans="1:6" x14ac:dyDescent="0.2">
      <c r="A1900" t="s">
        <v>9</v>
      </c>
      <c r="B1900">
        <v>3424.44391959217</v>
      </c>
      <c r="C1900">
        <v>29260.16</v>
      </c>
      <c r="D1900">
        <v>4.2000071938514703</v>
      </c>
      <c r="E1900">
        <v>393</v>
      </c>
      <c r="F1900" t="s">
        <v>215</v>
      </c>
    </row>
    <row r="1901" spans="1:6" x14ac:dyDescent="0.2">
      <c r="A1901" t="s">
        <v>11</v>
      </c>
      <c r="B1901">
        <v>3730.4695413023001</v>
      </c>
      <c r="C1901">
        <v>68488.56</v>
      </c>
      <c r="D1901">
        <v>4.4394991870403304</v>
      </c>
      <c r="E1901">
        <v>393</v>
      </c>
      <c r="F1901" t="s">
        <v>215</v>
      </c>
    </row>
    <row r="1902" spans="1:6" x14ac:dyDescent="0.2">
      <c r="A1902" t="s">
        <v>6</v>
      </c>
      <c r="B1902">
        <v>4035.5090782954198</v>
      </c>
      <c r="C1902">
        <v>50730.62</v>
      </c>
      <c r="D1902">
        <v>5.0088751530329398</v>
      </c>
      <c r="E1902">
        <v>393</v>
      </c>
      <c r="F1902" t="s">
        <v>215</v>
      </c>
    </row>
    <row r="1903" spans="1:6" x14ac:dyDescent="0.2">
      <c r="A1903" t="s">
        <v>6</v>
      </c>
      <c r="B1903">
        <v>4340.5497574863903</v>
      </c>
      <c r="C1903">
        <v>35453.42</v>
      </c>
      <c r="D1903">
        <v>5.5511773522377004</v>
      </c>
      <c r="E1903">
        <v>393</v>
      </c>
      <c r="F1903" t="s">
        <v>215</v>
      </c>
    </row>
    <row r="1904" spans="1:6" x14ac:dyDescent="0.2">
      <c r="A1904" t="s">
        <v>9</v>
      </c>
      <c r="B1904">
        <v>4646.57416496319</v>
      </c>
      <c r="C1904">
        <v>13267.79</v>
      </c>
      <c r="D1904">
        <v>6.0573838130315103</v>
      </c>
      <c r="E1904">
        <v>393</v>
      </c>
      <c r="F1904" t="s">
        <v>215</v>
      </c>
    </row>
    <row r="1905" spans="1:6" x14ac:dyDescent="0.2">
      <c r="A1905" t="s">
        <v>10</v>
      </c>
      <c r="B1905">
        <v>3431.4210248568002</v>
      </c>
      <c r="C1905">
        <v>16173.48</v>
      </c>
      <c r="D1905">
        <v>4.6202615038235999</v>
      </c>
      <c r="E1905">
        <v>403</v>
      </c>
      <c r="F1905" t="s">
        <v>216</v>
      </c>
    </row>
    <row r="1906" spans="1:6" x14ac:dyDescent="0.2">
      <c r="A1906" t="s">
        <v>11</v>
      </c>
      <c r="B1906">
        <v>3776.47257066271</v>
      </c>
      <c r="C1906">
        <v>66329.03</v>
      </c>
      <c r="D1906">
        <v>4.8913853780110701</v>
      </c>
      <c r="E1906">
        <v>403</v>
      </c>
      <c r="F1906" t="s">
        <v>216</v>
      </c>
    </row>
    <row r="1907" spans="1:6" x14ac:dyDescent="0.2">
      <c r="A1907" t="s">
        <v>6</v>
      </c>
      <c r="B1907">
        <v>4081.5181659047398</v>
      </c>
      <c r="C1907">
        <v>9533.73</v>
      </c>
      <c r="D1907">
        <v>5.3071398452599796</v>
      </c>
      <c r="E1907">
        <v>403</v>
      </c>
      <c r="F1907" t="s">
        <v>216</v>
      </c>
    </row>
    <row r="1908" spans="1:6" x14ac:dyDescent="0.2">
      <c r="A1908" t="s">
        <v>10</v>
      </c>
      <c r="B1908">
        <v>4426.5623628943104</v>
      </c>
      <c r="C1908">
        <v>35212.660000000003</v>
      </c>
      <c r="D1908">
        <v>6.0302656864801998</v>
      </c>
      <c r="E1908">
        <v>403</v>
      </c>
      <c r="F1908" t="s">
        <v>216</v>
      </c>
    </row>
    <row r="1909" spans="1:6" x14ac:dyDescent="0.2">
      <c r="A1909" t="s">
        <v>6</v>
      </c>
      <c r="B1909">
        <v>4731.5923776760601</v>
      </c>
      <c r="C1909">
        <v>11976.2</v>
      </c>
      <c r="D1909">
        <v>6.3919035450299599</v>
      </c>
      <c r="E1909">
        <v>403</v>
      </c>
      <c r="F1909" t="s">
        <v>216</v>
      </c>
    </row>
    <row r="1910" spans="1:6" x14ac:dyDescent="0.2">
      <c r="A1910" t="s">
        <v>11</v>
      </c>
      <c r="B1910">
        <v>5735.7389904439797</v>
      </c>
      <c r="C1910">
        <v>58383.39</v>
      </c>
      <c r="D1910">
        <v>8.1016532953262299</v>
      </c>
      <c r="E1910">
        <v>441</v>
      </c>
      <c r="F1910" t="s">
        <v>217</v>
      </c>
    </row>
    <row r="1911" spans="1:6" x14ac:dyDescent="0.2">
      <c r="A1911" t="s">
        <v>9</v>
      </c>
      <c r="B1911">
        <v>6041.7909929288799</v>
      </c>
      <c r="C1911">
        <v>11972.36</v>
      </c>
      <c r="D1911">
        <v>8.3099201039155304</v>
      </c>
      <c r="E1911">
        <v>441</v>
      </c>
      <c r="F1911" t="s">
        <v>217</v>
      </c>
    </row>
    <row r="1912" spans="1:6" x14ac:dyDescent="0.2">
      <c r="A1912" t="s">
        <v>10</v>
      </c>
      <c r="B1912">
        <v>6386.82373067765</v>
      </c>
      <c r="C1912">
        <v>27229.200000000001</v>
      </c>
      <c r="D1912">
        <v>8.6993728454589796</v>
      </c>
      <c r="E1912">
        <v>441</v>
      </c>
      <c r="F1912" t="s">
        <v>217</v>
      </c>
    </row>
    <row r="1913" spans="1:6" x14ac:dyDescent="0.2">
      <c r="A1913" t="s">
        <v>6</v>
      </c>
      <c r="B1913">
        <v>6691.8581791077304</v>
      </c>
      <c r="C1913">
        <v>19753.62</v>
      </c>
      <c r="D1913">
        <v>8.9395682449817606</v>
      </c>
      <c r="E1913">
        <v>441</v>
      </c>
      <c r="F1913" t="s">
        <v>217</v>
      </c>
    </row>
    <row r="1914" spans="1:6" x14ac:dyDescent="0.2">
      <c r="A1914" t="s">
        <v>10</v>
      </c>
      <c r="B1914">
        <v>4293.5199499256196</v>
      </c>
      <c r="C1914">
        <v>15925.31</v>
      </c>
      <c r="D1914">
        <v>4.3491223271369899</v>
      </c>
      <c r="E1914">
        <v>449</v>
      </c>
      <c r="F1914" t="s">
        <v>218</v>
      </c>
    </row>
    <row r="1915" spans="1:6" x14ac:dyDescent="0.2">
      <c r="A1915" t="s">
        <v>6</v>
      </c>
      <c r="B1915">
        <v>4638.5625968672402</v>
      </c>
      <c r="C1915">
        <v>41438.230000000003</v>
      </c>
      <c r="D1915">
        <v>5.1308935439268701</v>
      </c>
      <c r="E1915">
        <v>449</v>
      </c>
      <c r="F1915" t="s">
        <v>218</v>
      </c>
    </row>
    <row r="1916" spans="1:6" x14ac:dyDescent="0.2">
      <c r="A1916" t="s">
        <v>11</v>
      </c>
      <c r="B1916">
        <v>4943.6109419098102</v>
      </c>
      <c r="C1916">
        <v>57139.42</v>
      </c>
      <c r="D1916">
        <v>5.5511773522377004</v>
      </c>
      <c r="E1916">
        <v>449</v>
      </c>
      <c r="F1916" t="s">
        <v>218</v>
      </c>
    </row>
    <row r="1917" spans="1:6" x14ac:dyDescent="0.2">
      <c r="A1917" t="s">
        <v>6</v>
      </c>
      <c r="B1917">
        <v>5248.6544285769296</v>
      </c>
      <c r="C1917">
        <v>25383.48</v>
      </c>
      <c r="D1917">
        <v>5.9398688292185504</v>
      </c>
      <c r="E1917">
        <v>449</v>
      </c>
      <c r="F1917" t="s">
        <v>218</v>
      </c>
    </row>
    <row r="1918" spans="1:6" x14ac:dyDescent="0.2">
      <c r="A1918" t="s">
        <v>6</v>
      </c>
      <c r="B1918">
        <v>5553.7005460389501</v>
      </c>
      <c r="C1918">
        <v>15646.1</v>
      </c>
      <c r="D1918">
        <v>7.4997938370386796</v>
      </c>
      <c r="E1918">
        <v>449</v>
      </c>
      <c r="F1918" t="s">
        <v>218</v>
      </c>
    </row>
    <row r="1919" spans="1:6" x14ac:dyDescent="0.2">
      <c r="A1919" t="s">
        <v>10</v>
      </c>
      <c r="B1919">
        <v>11455.4422245967</v>
      </c>
      <c r="C1919">
        <v>20672.830000000002</v>
      </c>
      <c r="D1919">
        <v>12.001149969863899</v>
      </c>
      <c r="E1919">
        <v>451</v>
      </c>
      <c r="F1919" t="s">
        <v>219</v>
      </c>
    </row>
    <row r="1920" spans="1:6" x14ac:dyDescent="0.2">
      <c r="A1920" t="s">
        <v>6</v>
      </c>
      <c r="B1920">
        <v>11800.5059002862</v>
      </c>
      <c r="C1920">
        <v>40374.92</v>
      </c>
      <c r="D1920">
        <v>12.091964961655901</v>
      </c>
      <c r="E1920">
        <v>451</v>
      </c>
      <c r="F1920" t="s">
        <v>219</v>
      </c>
    </row>
    <row r="1921" spans="1:6" x14ac:dyDescent="0.2">
      <c r="A1921" t="s">
        <v>11</v>
      </c>
      <c r="B1921">
        <v>12105.5566761219</v>
      </c>
      <c r="C1921">
        <v>56494.68</v>
      </c>
      <c r="D1921">
        <v>12.091964961655901</v>
      </c>
      <c r="E1921">
        <v>451</v>
      </c>
      <c r="F1921" t="s">
        <v>219</v>
      </c>
    </row>
    <row r="1922" spans="1:6" x14ac:dyDescent="0.2">
      <c r="A1922" t="s">
        <v>9</v>
      </c>
      <c r="B1922">
        <v>12411.6028135459</v>
      </c>
      <c r="C1922">
        <v>10266.23</v>
      </c>
      <c r="D1922">
        <v>12.237303943999599</v>
      </c>
      <c r="E1922">
        <v>451</v>
      </c>
      <c r="F1922" t="s">
        <v>219</v>
      </c>
    </row>
    <row r="1923" spans="1:6" x14ac:dyDescent="0.2">
      <c r="A1923" t="s">
        <v>10</v>
      </c>
      <c r="B1923">
        <v>2346.34686536661</v>
      </c>
      <c r="C1923">
        <v>49671.86</v>
      </c>
      <c r="D1923">
        <v>1.4397416527748099</v>
      </c>
      <c r="E1923">
        <v>468</v>
      </c>
      <c r="F1923" t="s">
        <v>220</v>
      </c>
    </row>
    <row r="1924" spans="1:6" x14ac:dyDescent="0.2">
      <c r="A1924" t="s">
        <v>8</v>
      </c>
      <c r="B1924">
        <v>2691.3952660928899</v>
      </c>
      <c r="C1924">
        <v>33951.49</v>
      </c>
      <c r="D1924">
        <v>2.3703532870292698</v>
      </c>
      <c r="E1924">
        <v>468</v>
      </c>
      <c r="F1924" t="s">
        <v>220</v>
      </c>
    </row>
    <row r="1925" spans="1:6" x14ac:dyDescent="0.2">
      <c r="A1925" t="s">
        <v>9</v>
      </c>
      <c r="B1925">
        <v>3020.4460940835602</v>
      </c>
      <c r="C1925">
        <v>8576.9500000000007</v>
      </c>
      <c r="D1925">
        <v>4.32201112863223</v>
      </c>
      <c r="E1925">
        <v>468</v>
      </c>
      <c r="F1925" t="s">
        <v>220</v>
      </c>
    </row>
    <row r="1926" spans="1:6" x14ac:dyDescent="0.2">
      <c r="A1926" t="s">
        <v>11</v>
      </c>
      <c r="B1926">
        <v>3326.47608497283</v>
      </c>
      <c r="C1926">
        <v>53351.29</v>
      </c>
      <c r="D1926">
        <v>5.1308935439268701</v>
      </c>
      <c r="E1926">
        <v>468</v>
      </c>
      <c r="F1926" t="s">
        <v>220</v>
      </c>
    </row>
    <row r="1927" spans="1:6" x14ac:dyDescent="0.2">
      <c r="A1927" t="s">
        <v>8</v>
      </c>
      <c r="B1927">
        <v>3655.5309835252901</v>
      </c>
      <c r="C1927">
        <v>17435.150000000001</v>
      </c>
      <c r="D1927">
        <v>6.1206648703098301</v>
      </c>
      <c r="E1927">
        <v>468</v>
      </c>
      <c r="F1927" t="s">
        <v>220</v>
      </c>
    </row>
    <row r="1928" spans="1:6" x14ac:dyDescent="0.2">
      <c r="A1928" t="s">
        <v>10</v>
      </c>
      <c r="B1928">
        <v>4000.5765515440298</v>
      </c>
      <c r="C1928">
        <v>7118.38</v>
      </c>
      <c r="D1928">
        <v>6.6902697598616303</v>
      </c>
      <c r="E1928">
        <v>468</v>
      </c>
      <c r="F1928" t="s">
        <v>220</v>
      </c>
    </row>
    <row r="1929" spans="1:6" x14ac:dyDescent="0.2">
      <c r="A1929" t="s">
        <v>9</v>
      </c>
      <c r="B1929">
        <v>3101.38932399652</v>
      </c>
      <c r="C1929">
        <v>21761.11</v>
      </c>
      <c r="D1929">
        <v>1.91861084458033</v>
      </c>
      <c r="E1929">
        <v>474</v>
      </c>
      <c r="F1929" t="s">
        <v>221</v>
      </c>
    </row>
    <row r="1930" spans="1:6" x14ac:dyDescent="0.2">
      <c r="A1930" t="s">
        <v>10</v>
      </c>
      <c r="B1930">
        <v>3407.4166380900101</v>
      </c>
      <c r="C1930">
        <v>20341.080000000002</v>
      </c>
      <c r="D1930">
        <v>3.1202445522626201</v>
      </c>
      <c r="E1930">
        <v>474</v>
      </c>
      <c r="F1930" t="s">
        <v>221</v>
      </c>
    </row>
    <row r="1931" spans="1:6" x14ac:dyDescent="0.2">
      <c r="A1931" t="s">
        <v>11</v>
      </c>
      <c r="B1931">
        <v>3752.4585565338698</v>
      </c>
      <c r="C1931">
        <v>52485.17</v>
      </c>
      <c r="D1931">
        <v>4.2587451930522899</v>
      </c>
      <c r="E1931">
        <v>474</v>
      </c>
      <c r="F1931" t="s">
        <v>221</v>
      </c>
    </row>
    <row r="1932" spans="1:6" x14ac:dyDescent="0.2">
      <c r="A1932" t="s">
        <v>10</v>
      </c>
      <c r="B1932">
        <v>4097.5152553809903</v>
      </c>
      <c r="C1932">
        <v>40945.46</v>
      </c>
      <c r="D1932">
        <v>5.0405052121162397</v>
      </c>
      <c r="E1932">
        <v>474</v>
      </c>
      <c r="F1932" t="s">
        <v>221</v>
      </c>
    </row>
    <row r="1933" spans="1:6" x14ac:dyDescent="0.2">
      <c r="A1933" t="s">
        <v>9</v>
      </c>
      <c r="B1933">
        <v>4403.5317731476898</v>
      </c>
      <c r="C1933">
        <v>36000.29</v>
      </c>
      <c r="D1933">
        <v>5.7590797618706997</v>
      </c>
      <c r="E1933">
        <v>474</v>
      </c>
      <c r="F1933" t="s">
        <v>221</v>
      </c>
    </row>
    <row r="1934" spans="1:6" x14ac:dyDescent="0.2">
      <c r="A1934" t="s">
        <v>6</v>
      </c>
      <c r="B1934">
        <v>4708.5846872727197</v>
      </c>
      <c r="C1934">
        <v>18691.97</v>
      </c>
      <c r="D1934">
        <v>6.1477922931988997</v>
      </c>
      <c r="E1934">
        <v>474</v>
      </c>
      <c r="F1934" t="s">
        <v>221</v>
      </c>
    </row>
    <row r="1935" spans="1:6" x14ac:dyDescent="0.2">
      <c r="A1935" t="s">
        <v>11</v>
      </c>
      <c r="B1935">
        <v>3652.5173745490401</v>
      </c>
      <c r="C1935">
        <v>51851.17</v>
      </c>
      <c r="D1935">
        <v>4.9501272952238704</v>
      </c>
      <c r="E1935">
        <v>479</v>
      </c>
      <c r="F1935" t="s">
        <v>222</v>
      </c>
    </row>
    <row r="1936" spans="1:6" x14ac:dyDescent="0.2">
      <c r="A1936" t="s">
        <v>6</v>
      </c>
      <c r="B1936">
        <v>3957.5488224955102</v>
      </c>
      <c r="C1936">
        <v>34455.589999999997</v>
      </c>
      <c r="D1936">
        <v>5.5511773522377004</v>
      </c>
      <c r="E1936">
        <v>479</v>
      </c>
      <c r="F1936" t="s">
        <v>222</v>
      </c>
    </row>
    <row r="1937" spans="1:6" x14ac:dyDescent="0.2">
      <c r="A1937" t="s">
        <v>6</v>
      </c>
      <c r="B1937">
        <v>4262.5886308032404</v>
      </c>
      <c r="C1937">
        <v>12039.22</v>
      </c>
      <c r="D1937">
        <v>5.9127516781965896</v>
      </c>
      <c r="E1937">
        <v>479</v>
      </c>
      <c r="F1937" t="s">
        <v>222</v>
      </c>
    </row>
    <row r="1938" spans="1:6" x14ac:dyDescent="0.2">
      <c r="A1938" t="s">
        <v>9</v>
      </c>
      <c r="B1938">
        <v>4568.6155338196704</v>
      </c>
      <c r="C1938">
        <v>29108.240000000002</v>
      </c>
      <c r="D1938">
        <v>6.4823198870499903</v>
      </c>
      <c r="E1938">
        <v>479</v>
      </c>
      <c r="F1938" t="s">
        <v>222</v>
      </c>
    </row>
    <row r="1939" spans="1:6" x14ac:dyDescent="0.2">
      <c r="A1939" t="s">
        <v>11</v>
      </c>
      <c r="B1939">
        <v>5422.6942046538798</v>
      </c>
      <c r="C1939">
        <v>47681.48</v>
      </c>
      <c r="D1939">
        <v>7.3504987692515096</v>
      </c>
      <c r="E1939">
        <v>498</v>
      </c>
      <c r="F1939" t="s">
        <v>223</v>
      </c>
    </row>
    <row r="1940" spans="1:6" x14ac:dyDescent="0.2">
      <c r="A1940" t="s">
        <v>10</v>
      </c>
      <c r="B1940">
        <v>5767.7392239461797</v>
      </c>
      <c r="C1940">
        <v>47411.58</v>
      </c>
      <c r="D1940">
        <v>7.7395614460786204</v>
      </c>
      <c r="E1940">
        <v>498</v>
      </c>
      <c r="F1940" t="s">
        <v>223</v>
      </c>
    </row>
    <row r="1941" spans="1:6" x14ac:dyDescent="0.2">
      <c r="A1941" t="s">
        <v>6</v>
      </c>
      <c r="B1941">
        <v>6072.79315779431</v>
      </c>
      <c r="C1941">
        <v>13932.15</v>
      </c>
      <c r="D1941">
        <v>7.97942051049868</v>
      </c>
      <c r="E1941">
        <v>498</v>
      </c>
      <c r="F1941" t="s">
        <v>223</v>
      </c>
    </row>
    <row r="1942" spans="1:6" x14ac:dyDescent="0.2">
      <c r="A1942" t="s">
        <v>8</v>
      </c>
      <c r="B1942">
        <v>6401.84290515254</v>
      </c>
      <c r="C1942">
        <v>29080.799999999999</v>
      </c>
      <c r="D1942">
        <v>8.4593535021622994</v>
      </c>
      <c r="E1942">
        <v>498</v>
      </c>
      <c r="F1942" t="s">
        <v>223</v>
      </c>
    </row>
    <row r="1943" spans="1:6" x14ac:dyDescent="0.2">
      <c r="A1943" t="s">
        <v>8</v>
      </c>
      <c r="B1943">
        <v>6730.8791984004802</v>
      </c>
      <c r="C1943">
        <v>20212.25</v>
      </c>
      <c r="D1943">
        <v>8.9078380798975605</v>
      </c>
      <c r="E1943">
        <v>498</v>
      </c>
      <c r="F1943" t="s">
        <v>223</v>
      </c>
    </row>
    <row r="1944" spans="1:6" x14ac:dyDescent="0.2">
      <c r="A1944" t="s">
        <v>9</v>
      </c>
      <c r="B1944">
        <v>12672.713974096499</v>
      </c>
      <c r="C1944">
        <v>28002.97</v>
      </c>
      <c r="D1944">
        <v>12.5731902436097</v>
      </c>
      <c r="E1944">
        <v>512</v>
      </c>
      <c r="F1944" t="s">
        <v>224</v>
      </c>
    </row>
    <row r="1945" spans="1:6" x14ac:dyDescent="0.2">
      <c r="A1945" t="s">
        <v>11</v>
      </c>
      <c r="B1945">
        <v>12978.7389575752</v>
      </c>
      <c r="C1945">
        <v>45927.33</v>
      </c>
      <c r="D1945">
        <v>12.6276503280481</v>
      </c>
      <c r="E1945">
        <v>512</v>
      </c>
      <c r="F1945" t="s">
        <v>224</v>
      </c>
    </row>
    <row r="1946" spans="1:6" x14ac:dyDescent="0.2">
      <c r="A1946" t="s">
        <v>6</v>
      </c>
      <c r="B1946">
        <v>13283.7622858022</v>
      </c>
      <c r="C1946">
        <v>45216.07</v>
      </c>
      <c r="D1946">
        <v>12.6912089701176</v>
      </c>
      <c r="E1946">
        <v>512</v>
      </c>
      <c r="F1946" t="s">
        <v>224</v>
      </c>
    </row>
    <row r="1947" spans="1:6" x14ac:dyDescent="0.2">
      <c r="A1947" t="s">
        <v>10</v>
      </c>
      <c r="B1947">
        <v>13628.7947912253</v>
      </c>
      <c r="C1947">
        <v>42141.19</v>
      </c>
      <c r="D1947">
        <v>12.7502241031011</v>
      </c>
      <c r="E1947">
        <v>512</v>
      </c>
      <c r="F1947" t="s">
        <v>224</v>
      </c>
    </row>
    <row r="1948" spans="1:6" x14ac:dyDescent="0.2">
      <c r="A1948" t="s">
        <v>10</v>
      </c>
      <c r="B1948">
        <v>5536.7681923119399</v>
      </c>
      <c r="C1948">
        <v>32824.39</v>
      </c>
      <c r="D1948">
        <v>8.9984834865411099</v>
      </c>
      <c r="E1948">
        <v>526</v>
      </c>
      <c r="F1948" t="s">
        <v>225</v>
      </c>
    </row>
    <row r="1949" spans="1:6" x14ac:dyDescent="0.2">
      <c r="A1949" t="s">
        <v>11</v>
      </c>
      <c r="B1949">
        <v>5881.7665873863598</v>
      </c>
      <c r="C1949">
        <v>44352.94</v>
      </c>
      <c r="D1949">
        <v>6.78068572041194</v>
      </c>
      <c r="E1949">
        <v>526</v>
      </c>
      <c r="F1949" t="s">
        <v>225</v>
      </c>
    </row>
    <row r="1950" spans="1:6" x14ac:dyDescent="0.2">
      <c r="A1950" t="s">
        <v>9</v>
      </c>
      <c r="B1950">
        <v>6187.79044160597</v>
      </c>
      <c r="C1950">
        <v>40327.29</v>
      </c>
      <c r="D1950">
        <v>7.2328901525020601</v>
      </c>
      <c r="E1950">
        <v>526</v>
      </c>
      <c r="F1950" t="s">
        <v>225</v>
      </c>
    </row>
    <row r="1951" spans="1:6" x14ac:dyDescent="0.2">
      <c r="A1951" t="s">
        <v>10</v>
      </c>
      <c r="B1951">
        <v>6532.81661206843</v>
      </c>
      <c r="C1951">
        <v>8014.38</v>
      </c>
      <c r="D1951">
        <v>8.6087896442095406</v>
      </c>
      <c r="E1951">
        <v>526</v>
      </c>
      <c r="F1951" t="s">
        <v>225</v>
      </c>
    </row>
    <row r="1952" spans="1:6" x14ac:dyDescent="0.2">
      <c r="A1952" t="s">
        <v>8</v>
      </c>
      <c r="B1952">
        <v>6277.7935419507203</v>
      </c>
      <c r="C1952">
        <v>10381.11</v>
      </c>
      <c r="D1952">
        <v>8.6404895440419498</v>
      </c>
      <c r="E1952">
        <v>554</v>
      </c>
      <c r="F1952" t="s">
        <v>226</v>
      </c>
    </row>
    <row r="1953" spans="1:6" x14ac:dyDescent="0.2">
      <c r="A1953" t="s">
        <v>6</v>
      </c>
      <c r="B1953">
        <v>6606.8761705288198</v>
      </c>
      <c r="C1953">
        <v>37754.550000000003</v>
      </c>
      <c r="D1953">
        <v>8.8806360796769503</v>
      </c>
      <c r="E1953">
        <v>554</v>
      </c>
      <c r="F1953" t="s">
        <v>226</v>
      </c>
    </row>
    <row r="1954" spans="1:6" x14ac:dyDescent="0.2">
      <c r="A1954" t="s">
        <v>11</v>
      </c>
      <c r="B1954">
        <v>6911.8911820896001</v>
      </c>
      <c r="C1954">
        <v>40775.870000000003</v>
      </c>
      <c r="D1954">
        <v>8.9078380798975605</v>
      </c>
      <c r="E1954">
        <v>554</v>
      </c>
      <c r="F1954" t="s">
        <v>226</v>
      </c>
    </row>
    <row r="1955" spans="1:6" x14ac:dyDescent="0.2">
      <c r="A1955" t="s">
        <v>6</v>
      </c>
      <c r="B1955">
        <v>7216.9389438199496</v>
      </c>
      <c r="C1955">
        <v>28813.93</v>
      </c>
      <c r="D1955">
        <v>9.0619451121171295</v>
      </c>
      <c r="E1955">
        <v>554</v>
      </c>
      <c r="F1955" t="s">
        <v>226</v>
      </c>
    </row>
    <row r="1956" spans="1:6" x14ac:dyDescent="0.2">
      <c r="A1956" t="s">
        <v>9</v>
      </c>
      <c r="B1956">
        <v>13206.7105886831</v>
      </c>
      <c r="C1956">
        <v>25381.040000000001</v>
      </c>
      <c r="D1956">
        <v>12.718441311089199</v>
      </c>
      <c r="E1956">
        <v>557</v>
      </c>
      <c r="F1956" t="s">
        <v>227</v>
      </c>
    </row>
    <row r="1957" spans="1:6" x14ac:dyDescent="0.2">
      <c r="A1957" t="s">
        <v>9</v>
      </c>
      <c r="B1957">
        <v>13512.7628329828</v>
      </c>
      <c r="C1957">
        <v>31213.02</v>
      </c>
      <c r="D1957">
        <v>12.718441311089199</v>
      </c>
      <c r="E1957">
        <v>557</v>
      </c>
      <c r="F1957" t="s">
        <v>227</v>
      </c>
    </row>
    <row r="1958" spans="1:6" x14ac:dyDescent="0.2">
      <c r="A1958" t="s">
        <v>8</v>
      </c>
      <c r="B1958">
        <v>13818.749827858899</v>
      </c>
      <c r="C1958">
        <v>30971.61</v>
      </c>
      <c r="D1958">
        <v>12.7820076103687</v>
      </c>
      <c r="E1958">
        <v>557</v>
      </c>
      <c r="F1958" t="s">
        <v>227</v>
      </c>
    </row>
    <row r="1959" spans="1:6" x14ac:dyDescent="0.2">
      <c r="A1959" t="s">
        <v>10</v>
      </c>
      <c r="B1959">
        <v>14147.809140900499</v>
      </c>
      <c r="C1959">
        <v>30921.87</v>
      </c>
      <c r="D1959">
        <v>12.990857260990101</v>
      </c>
      <c r="E1959">
        <v>557</v>
      </c>
      <c r="F1959" t="s">
        <v>227</v>
      </c>
    </row>
    <row r="1960" spans="1:6" x14ac:dyDescent="0.2">
      <c r="A1960" t="s">
        <v>11</v>
      </c>
      <c r="B1960">
        <v>14492.887939472899</v>
      </c>
      <c r="C1960">
        <v>40622.519999999997</v>
      </c>
      <c r="D1960">
        <v>13.049887185859699</v>
      </c>
      <c r="E1960">
        <v>557</v>
      </c>
      <c r="F1960" t="s">
        <v>227</v>
      </c>
    </row>
    <row r="1961" spans="1:6" x14ac:dyDescent="0.2">
      <c r="A1961" t="s">
        <v>9</v>
      </c>
      <c r="B1961">
        <v>3885.5268437996901</v>
      </c>
      <c r="C1961">
        <v>33632.75</v>
      </c>
      <c r="D1961">
        <v>6.1477922931988997</v>
      </c>
      <c r="E1961">
        <v>565</v>
      </c>
      <c r="F1961" t="s">
        <v>228</v>
      </c>
    </row>
    <row r="1962" spans="1:6" x14ac:dyDescent="0.2">
      <c r="A1962" t="s">
        <v>6</v>
      </c>
      <c r="B1962">
        <v>4191.5836275369902</v>
      </c>
      <c r="C1962">
        <v>12573.45</v>
      </c>
      <c r="D1962">
        <v>4.4394991870403304</v>
      </c>
      <c r="E1962">
        <v>565</v>
      </c>
      <c r="F1962" t="s">
        <v>228</v>
      </c>
    </row>
    <row r="1963" spans="1:6" x14ac:dyDescent="0.2">
      <c r="A1963" t="s">
        <v>6</v>
      </c>
      <c r="B1963">
        <v>4496.6086564991001</v>
      </c>
      <c r="C1963">
        <v>38973.24</v>
      </c>
      <c r="D1963">
        <v>5.1625245864868203</v>
      </c>
      <c r="E1963">
        <v>565</v>
      </c>
      <c r="F1963" t="s">
        <v>228</v>
      </c>
    </row>
    <row r="1964" spans="1:6" x14ac:dyDescent="0.2">
      <c r="A1964" t="s">
        <v>11</v>
      </c>
      <c r="B1964">
        <v>4801.6320350783099</v>
      </c>
      <c r="C1964">
        <v>39328.6</v>
      </c>
      <c r="D1964">
        <v>7.3504987692515096</v>
      </c>
      <c r="E1964">
        <v>565</v>
      </c>
      <c r="F1964" t="s">
        <v>228</v>
      </c>
    </row>
    <row r="1965" spans="1:6" x14ac:dyDescent="0.2">
      <c r="A1965" t="s">
        <v>6</v>
      </c>
      <c r="B1965">
        <v>4203.4475258298799</v>
      </c>
      <c r="C1965">
        <v>20924.990000000002</v>
      </c>
      <c r="D1965">
        <v>4.4394991870403304</v>
      </c>
      <c r="E1965">
        <v>566</v>
      </c>
      <c r="F1965" t="s">
        <v>229</v>
      </c>
    </row>
    <row r="1966" spans="1:6" x14ac:dyDescent="0.2">
      <c r="A1966" t="s">
        <v>9</v>
      </c>
      <c r="B1966">
        <v>4508.48196745732</v>
      </c>
      <c r="C1966">
        <v>16116.71</v>
      </c>
      <c r="D1966">
        <v>5.0992564197063404</v>
      </c>
      <c r="E1966">
        <v>566</v>
      </c>
      <c r="F1966" t="s">
        <v>229</v>
      </c>
    </row>
    <row r="1967" spans="1:6" x14ac:dyDescent="0.2">
      <c r="A1967" t="s">
        <v>9</v>
      </c>
      <c r="B1967">
        <v>4814.5163804276999</v>
      </c>
      <c r="C1967">
        <v>38017.360000000001</v>
      </c>
      <c r="D1967">
        <v>5.6415601447900103</v>
      </c>
      <c r="E1967">
        <v>566</v>
      </c>
      <c r="F1967" t="s">
        <v>229</v>
      </c>
    </row>
    <row r="1968" spans="1:6" x14ac:dyDescent="0.2">
      <c r="A1968" t="s">
        <v>11</v>
      </c>
      <c r="B1968">
        <v>5120.5452986431701</v>
      </c>
      <c r="C1968">
        <v>39202.44</v>
      </c>
      <c r="D1968">
        <v>6.1206648703098301</v>
      </c>
      <c r="E1968">
        <v>566</v>
      </c>
      <c r="F1968" t="s">
        <v>229</v>
      </c>
    </row>
    <row r="1969" spans="1:6" x14ac:dyDescent="0.2">
      <c r="A1969" t="s">
        <v>6</v>
      </c>
      <c r="B1969">
        <v>5425.5884768734104</v>
      </c>
      <c r="C1969">
        <v>18593.79</v>
      </c>
      <c r="D1969">
        <v>6.5094394937833204</v>
      </c>
      <c r="E1969">
        <v>566</v>
      </c>
      <c r="F1969" t="s">
        <v>229</v>
      </c>
    </row>
    <row r="1970" spans="1:6" x14ac:dyDescent="0.2">
      <c r="A1970" t="s">
        <v>8</v>
      </c>
      <c r="B1970">
        <v>5754.6484512338402</v>
      </c>
      <c r="C1970">
        <v>4719.42</v>
      </c>
      <c r="D1970">
        <v>7.2328901525020601</v>
      </c>
      <c r="E1970">
        <v>566</v>
      </c>
      <c r="F1970" t="s">
        <v>229</v>
      </c>
    </row>
    <row r="1971" spans="1:6" x14ac:dyDescent="0.2">
      <c r="A1971" t="s">
        <v>9</v>
      </c>
      <c r="B1971">
        <v>11538.4836298463</v>
      </c>
      <c r="C1971">
        <v>19233.29</v>
      </c>
      <c r="D1971">
        <v>12.091964961655901</v>
      </c>
      <c r="E1971">
        <v>610</v>
      </c>
      <c r="F1971" t="s">
        <v>230</v>
      </c>
    </row>
    <row r="1972" spans="1:6" x14ac:dyDescent="0.2">
      <c r="A1972" t="s">
        <v>9</v>
      </c>
      <c r="B1972">
        <v>11844.5409525859</v>
      </c>
      <c r="C1972">
        <v>29534.89</v>
      </c>
      <c r="D1972">
        <v>12.3008609687964</v>
      </c>
      <c r="E1972">
        <v>610</v>
      </c>
      <c r="F1972" t="s">
        <v>230</v>
      </c>
    </row>
    <row r="1973" spans="1:6" x14ac:dyDescent="0.2">
      <c r="A1973" t="s">
        <v>6</v>
      </c>
      <c r="B1973">
        <v>12150.5856166007</v>
      </c>
      <c r="C1973">
        <v>22547.45</v>
      </c>
      <c r="D1973">
        <v>12.3008609687964</v>
      </c>
      <c r="E1973">
        <v>610</v>
      </c>
      <c r="F1973" t="s">
        <v>230</v>
      </c>
    </row>
    <row r="1974" spans="1:6" x14ac:dyDescent="0.2">
      <c r="A1974" t="s">
        <v>11</v>
      </c>
      <c r="B1974">
        <v>12455.5873243152</v>
      </c>
      <c r="C1974">
        <v>34984.19</v>
      </c>
      <c r="D1974">
        <v>12.4188859438578</v>
      </c>
      <c r="E1974">
        <v>610</v>
      </c>
      <c r="F1974" t="s">
        <v>230</v>
      </c>
    </row>
    <row r="1975" spans="1:6" x14ac:dyDescent="0.2">
      <c r="A1975" t="s">
        <v>9</v>
      </c>
      <c r="B1975">
        <v>9273.2013001764899</v>
      </c>
      <c r="C1975">
        <v>18181.97</v>
      </c>
      <c r="D1975">
        <v>11.33837376194</v>
      </c>
      <c r="E1975">
        <v>618</v>
      </c>
      <c r="F1975" t="s">
        <v>231</v>
      </c>
    </row>
    <row r="1976" spans="1:6" x14ac:dyDescent="0.2">
      <c r="A1976" t="s">
        <v>9</v>
      </c>
      <c r="B1976">
        <v>9579.2472381676307</v>
      </c>
      <c r="C1976">
        <v>13748.98</v>
      </c>
      <c r="D1976">
        <v>11.6106496349653</v>
      </c>
      <c r="E1976">
        <v>618</v>
      </c>
      <c r="F1976" t="s">
        <v>231</v>
      </c>
    </row>
    <row r="1977" spans="1:6" x14ac:dyDescent="0.2">
      <c r="A1977" t="s">
        <v>10</v>
      </c>
      <c r="B1977">
        <v>9885.2733602649496</v>
      </c>
      <c r="C1977">
        <v>19716.599999999999</v>
      </c>
      <c r="D1977">
        <v>11.4291141863346</v>
      </c>
      <c r="E1977">
        <v>618</v>
      </c>
      <c r="F1977" t="s">
        <v>231</v>
      </c>
    </row>
    <row r="1978" spans="1:6" x14ac:dyDescent="0.2">
      <c r="A1978" t="s">
        <v>11</v>
      </c>
      <c r="B1978">
        <v>10230.320949084</v>
      </c>
      <c r="C1978">
        <v>34371.58</v>
      </c>
      <c r="D1978">
        <v>11.637894735304499</v>
      </c>
      <c r="E1978">
        <v>618</v>
      </c>
      <c r="F1978" t="s">
        <v>231</v>
      </c>
    </row>
    <row r="1979" spans="1:6" x14ac:dyDescent="0.2">
      <c r="A1979" t="s">
        <v>8</v>
      </c>
      <c r="B1979">
        <v>3724.4245509523398</v>
      </c>
      <c r="C1979">
        <v>28868.49</v>
      </c>
      <c r="D1979">
        <v>3.4816359932899501</v>
      </c>
      <c r="E1979">
        <v>624</v>
      </c>
      <c r="F1979" t="s">
        <v>232</v>
      </c>
    </row>
    <row r="1980" spans="1:6" x14ac:dyDescent="0.2">
      <c r="A1980" t="s">
        <v>9</v>
      </c>
      <c r="B1980">
        <v>4053.4811349939901</v>
      </c>
      <c r="C1980">
        <v>23572.62</v>
      </c>
      <c r="D1980">
        <v>5.0088751530329398</v>
      </c>
      <c r="E1980">
        <v>624</v>
      </c>
      <c r="F1980" t="s">
        <v>232</v>
      </c>
    </row>
    <row r="1981" spans="1:6" x14ac:dyDescent="0.2">
      <c r="A1981" t="s">
        <v>11</v>
      </c>
      <c r="B1981">
        <v>4359.4986984244597</v>
      </c>
      <c r="C1981">
        <v>33528.14</v>
      </c>
      <c r="D1981">
        <v>5.6099234874725301</v>
      </c>
      <c r="E1981">
        <v>624</v>
      </c>
      <c r="F1981" t="s">
        <v>232</v>
      </c>
    </row>
    <row r="1982" spans="1:6" x14ac:dyDescent="0.2">
      <c r="A1982" t="s">
        <v>9</v>
      </c>
      <c r="B1982">
        <v>4665.5262273018297</v>
      </c>
      <c r="C1982">
        <v>20100.12</v>
      </c>
      <c r="D1982">
        <v>6.1477922931988997</v>
      </c>
      <c r="E1982">
        <v>624</v>
      </c>
      <c r="F1982" t="s">
        <v>232</v>
      </c>
    </row>
    <row r="1983" spans="1:6" x14ac:dyDescent="0.2">
      <c r="A1983" t="s">
        <v>11</v>
      </c>
      <c r="B1983">
        <v>3173.3931486074998</v>
      </c>
      <c r="C1983">
        <v>32550.37</v>
      </c>
      <c r="D1983">
        <v>1.29066340284348</v>
      </c>
      <c r="E1983">
        <v>628</v>
      </c>
      <c r="F1983" t="s">
        <v>233</v>
      </c>
    </row>
    <row r="1984" spans="1:6" x14ac:dyDescent="0.2">
      <c r="A1984" t="s">
        <v>6</v>
      </c>
      <c r="B1984">
        <v>3478.4364763684598</v>
      </c>
      <c r="C1984">
        <v>14137.38</v>
      </c>
      <c r="D1984">
        <v>1.91861084458033</v>
      </c>
      <c r="E1984">
        <v>628</v>
      </c>
      <c r="F1984" t="s">
        <v>233</v>
      </c>
    </row>
    <row r="1985" spans="1:6" x14ac:dyDescent="0.2">
      <c r="A1985" t="s">
        <v>8</v>
      </c>
      <c r="B1985">
        <v>3807.495526363</v>
      </c>
      <c r="C1985">
        <v>9143.9500000000007</v>
      </c>
      <c r="D1985">
        <v>3.87018644369443</v>
      </c>
      <c r="E1985">
        <v>628</v>
      </c>
      <c r="F1985" t="s">
        <v>233</v>
      </c>
    </row>
    <row r="1986" spans="1:6" x14ac:dyDescent="0.2">
      <c r="A1986" t="s">
        <v>10</v>
      </c>
      <c r="B1986">
        <v>4152.5246188807396</v>
      </c>
      <c r="C1986">
        <v>13155.42</v>
      </c>
      <c r="D1986">
        <v>4.8281210438092499</v>
      </c>
      <c r="E1986">
        <v>628</v>
      </c>
      <c r="F1986" t="s">
        <v>233</v>
      </c>
    </row>
    <row r="1987" spans="1:6" x14ac:dyDescent="0.2">
      <c r="A1987" t="s">
        <v>6</v>
      </c>
      <c r="B1987">
        <v>4457.5691058571701</v>
      </c>
      <c r="C1987">
        <v>11268.76</v>
      </c>
      <c r="D1987">
        <v>5.2529161369482704</v>
      </c>
      <c r="E1987">
        <v>628</v>
      </c>
      <c r="F1987" t="s">
        <v>233</v>
      </c>
    </row>
    <row r="1988" spans="1:6" x14ac:dyDescent="0.2">
      <c r="A1988" t="s">
        <v>10</v>
      </c>
      <c r="B1988">
        <v>4802.6303417039298</v>
      </c>
      <c r="C1988">
        <v>25716.38</v>
      </c>
      <c r="D1988">
        <v>7.2328901525020601</v>
      </c>
      <c r="E1988">
        <v>628</v>
      </c>
      <c r="F1988" t="s">
        <v>233</v>
      </c>
    </row>
    <row r="1989" spans="1:6" x14ac:dyDescent="0.2">
      <c r="A1989" t="s">
        <v>10</v>
      </c>
      <c r="B1989">
        <v>2332.2053035455901</v>
      </c>
      <c r="C1989">
        <v>13927.18</v>
      </c>
      <c r="D1989">
        <v>0.87054953532218904</v>
      </c>
      <c r="E1989">
        <v>668</v>
      </c>
      <c r="F1989" t="s">
        <v>234</v>
      </c>
    </row>
    <row r="1990" spans="1:6" x14ac:dyDescent="0.2">
      <c r="A1990" t="s">
        <v>8</v>
      </c>
      <c r="B1990">
        <v>2677.25531281842</v>
      </c>
      <c r="C1990">
        <v>22727.38</v>
      </c>
      <c r="D1990">
        <v>0.98799588637351998</v>
      </c>
      <c r="E1990">
        <v>668</v>
      </c>
      <c r="F1990" t="s">
        <v>234</v>
      </c>
    </row>
    <row r="1991" spans="1:6" x14ac:dyDescent="0.2">
      <c r="A1991" t="s">
        <v>8</v>
      </c>
      <c r="B1991">
        <v>3006.3125477851599</v>
      </c>
      <c r="C1991">
        <v>6837.29</v>
      </c>
      <c r="D1991">
        <v>1.5888249849955201</v>
      </c>
      <c r="E1991">
        <v>668</v>
      </c>
      <c r="F1991" t="s">
        <v>234</v>
      </c>
    </row>
    <row r="1992" spans="1:6" x14ac:dyDescent="0.2">
      <c r="A1992" t="s">
        <v>11</v>
      </c>
      <c r="B1992">
        <v>3335.3637120522098</v>
      </c>
      <c r="C1992">
        <v>29792.46</v>
      </c>
      <c r="D1992">
        <v>3.3912873859882402</v>
      </c>
      <c r="E1992">
        <v>668</v>
      </c>
      <c r="F1992" t="s">
        <v>234</v>
      </c>
    </row>
    <row r="1993" spans="1:6" x14ac:dyDescent="0.2">
      <c r="A1993" t="s">
        <v>6</v>
      </c>
      <c r="B1993">
        <v>2975.3064678881101</v>
      </c>
      <c r="C1993">
        <v>12106.73</v>
      </c>
      <c r="D1993">
        <v>2.93955408689181</v>
      </c>
      <c r="E1993">
        <v>694</v>
      </c>
      <c r="F1993" t="s">
        <v>235</v>
      </c>
    </row>
    <row r="1994" spans="1:6" x14ac:dyDescent="0.2">
      <c r="A1994" t="s">
        <v>9</v>
      </c>
      <c r="B1994">
        <v>3280.3474782834601</v>
      </c>
      <c r="C1994">
        <v>24605.759999999998</v>
      </c>
      <c r="D1994">
        <v>3.87018644369443</v>
      </c>
      <c r="E1994">
        <v>694</v>
      </c>
      <c r="F1994" t="s">
        <v>235</v>
      </c>
    </row>
    <row r="1995" spans="1:6" x14ac:dyDescent="0.2">
      <c r="A1995" t="s">
        <v>9</v>
      </c>
      <c r="B1995">
        <v>3586.37361491928</v>
      </c>
      <c r="C1995">
        <v>12808.93</v>
      </c>
      <c r="D1995">
        <v>5.3071398452599796</v>
      </c>
      <c r="E1995">
        <v>694</v>
      </c>
      <c r="F1995" t="s">
        <v>235</v>
      </c>
    </row>
    <row r="1996" spans="1:6" x14ac:dyDescent="0.2">
      <c r="A1996" t="s">
        <v>11</v>
      </c>
      <c r="B1996">
        <v>3892.4002486610102</v>
      </c>
      <c r="C1996">
        <v>28249.35</v>
      </c>
      <c r="D1996">
        <v>5.9669860358715097</v>
      </c>
      <c r="E1996">
        <v>694</v>
      </c>
      <c r="F1996" t="s">
        <v>235</v>
      </c>
    </row>
    <row r="1997" spans="1:6" x14ac:dyDescent="0.2">
      <c r="A1997" t="s">
        <v>10</v>
      </c>
      <c r="B1997">
        <v>5193.57515251521</v>
      </c>
      <c r="C1997">
        <v>10556.39</v>
      </c>
      <c r="D1997">
        <v>7.4997938370386796</v>
      </c>
      <c r="E1997">
        <v>801</v>
      </c>
      <c r="F1997" t="s">
        <v>236</v>
      </c>
    </row>
    <row r="1998" spans="1:6" x14ac:dyDescent="0.2">
      <c r="A1998" t="s">
        <v>9</v>
      </c>
      <c r="B1998">
        <v>5538.6039704141504</v>
      </c>
      <c r="C1998">
        <v>14271.82</v>
      </c>
      <c r="D1998">
        <v>7.9477374529520697</v>
      </c>
      <c r="E1998">
        <v>801</v>
      </c>
      <c r="F1998" t="s">
        <v>236</v>
      </c>
    </row>
    <row r="1999" spans="1:6" x14ac:dyDescent="0.2">
      <c r="A1999" t="s">
        <v>6</v>
      </c>
      <c r="B1999">
        <v>5844.6726648030599</v>
      </c>
      <c r="C1999">
        <v>11872.65</v>
      </c>
      <c r="D1999">
        <v>8.1016532953262299</v>
      </c>
      <c r="E1999">
        <v>801</v>
      </c>
      <c r="F1999" t="s">
        <v>236</v>
      </c>
    </row>
    <row r="2000" spans="1:6" x14ac:dyDescent="0.2">
      <c r="A2000" t="s">
        <v>6</v>
      </c>
      <c r="B2000">
        <v>6149.7368248695802</v>
      </c>
      <c r="C2000">
        <v>10224.34</v>
      </c>
      <c r="D2000">
        <v>8.2510596112092305</v>
      </c>
      <c r="E2000">
        <v>801</v>
      </c>
      <c r="F2000" t="s">
        <v>236</v>
      </c>
    </row>
    <row r="2001" spans="1:6" x14ac:dyDescent="0.2">
      <c r="A2001" t="s">
        <v>11</v>
      </c>
      <c r="B2001">
        <v>6454.7965459912402</v>
      </c>
      <c r="C2001">
        <v>20546.759999999998</v>
      </c>
      <c r="D2001">
        <v>8.5182196116129596</v>
      </c>
      <c r="E2001">
        <v>801</v>
      </c>
      <c r="F2001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8"/>
  <sheetViews>
    <sheetView topLeftCell="A324" workbookViewId="0">
      <selection activeCell="L2003" sqref="L2003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1610.19160734036</v>
      </c>
      <c r="C2">
        <v>327848.90000000002</v>
      </c>
      <c r="D2">
        <v>0.75310868577957202</v>
      </c>
      <c r="E2">
        <v>1</v>
      </c>
      <c r="F2" t="s">
        <v>7</v>
      </c>
    </row>
    <row r="3" spans="1:6" x14ac:dyDescent="0.2">
      <c r="A3" t="s">
        <v>8</v>
      </c>
      <c r="B3">
        <v>1915.2285709382099</v>
      </c>
      <c r="C3">
        <v>865419.77</v>
      </c>
      <c r="D3">
        <v>0.87054953532218904</v>
      </c>
      <c r="E3">
        <v>1</v>
      </c>
      <c r="F3" t="s">
        <v>7</v>
      </c>
    </row>
    <row r="4" spans="1:6" x14ac:dyDescent="0.2">
      <c r="A4" t="s">
        <v>9</v>
      </c>
      <c r="B4">
        <v>2244.28669240202</v>
      </c>
      <c r="C4">
        <v>1083917.9099999999</v>
      </c>
      <c r="D4">
        <v>1.0196155285517401</v>
      </c>
      <c r="E4">
        <v>1</v>
      </c>
      <c r="F4" t="s">
        <v>7</v>
      </c>
    </row>
    <row r="5" spans="1:6" x14ac:dyDescent="0.2">
      <c r="A5" t="s">
        <v>10</v>
      </c>
      <c r="B5">
        <v>2550.3134584353302</v>
      </c>
      <c r="C5">
        <v>1946651.21</v>
      </c>
      <c r="D5">
        <v>1.32228308674494</v>
      </c>
      <c r="E5">
        <v>1</v>
      </c>
      <c r="F5" t="s">
        <v>7</v>
      </c>
    </row>
    <row r="6" spans="1:6" x14ac:dyDescent="0.2">
      <c r="A6" t="s">
        <v>6</v>
      </c>
      <c r="B6">
        <v>2895.3680560202001</v>
      </c>
      <c r="C6">
        <v>1822441.31</v>
      </c>
      <c r="D6">
        <v>2.1896585698604598</v>
      </c>
      <c r="E6">
        <v>1</v>
      </c>
      <c r="F6" t="s">
        <v>7</v>
      </c>
    </row>
    <row r="7" spans="1:6" x14ac:dyDescent="0.2">
      <c r="A7" t="s">
        <v>11</v>
      </c>
      <c r="B7">
        <v>3200.4054045932498</v>
      </c>
      <c r="C7">
        <v>3504836.84</v>
      </c>
      <c r="D7">
        <v>3.4816359932899501</v>
      </c>
      <c r="E7">
        <v>1</v>
      </c>
      <c r="F7" t="s">
        <v>7</v>
      </c>
    </row>
    <row r="8" spans="1:6" x14ac:dyDescent="0.2">
      <c r="A8" t="s">
        <v>10</v>
      </c>
      <c r="B8">
        <v>3545.4541705933002</v>
      </c>
      <c r="C8">
        <v>1853116.92</v>
      </c>
      <c r="D8">
        <v>4.4123856361389198</v>
      </c>
      <c r="E8">
        <v>1</v>
      </c>
      <c r="F8" t="s">
        <v>7</v>
      </c>
    </row>
    <row r="9" spans="1:6" x14ac:dyDescent="0.2">
      <c r="A9" t="s">
        <v>9</v>
      </c>
      <c r="B9">
        <v>3851.4813907734701</v>
      </c>
      <c r="C9">
        <v>1649092.63</v>
      </c>
      <c r="D9">
        <v>5.2529161369482704</v>
      </c>
      <c r="E9">
        <v>1</v>
      </c>
      <c r="F9" t="s">
        <v>7</v>
      </c>
    </row>
    <row r="10" spans="1:6" x14ac:dyDescent="0.2">
      <c r="A10" t="s">
        <v>8</v>
      </c>
      <c r="B10">
        <v>4180.5377012830104</v>
      </c>
      <c r="C10">
        <v>2153757.66</v>
      </c>
      <c r="D10">
        <v>6.1477922931988997</v>
      </c>
      <c r="E10">
        <v>1</v>
      </c>
      <c r="F10" t="s">
        <v>7</v>
      </c>
    </row>
    <row r="11" spans="1:6" x14ac:dyDescent="0.2">
      <c r="A11" t="s">
        <v>8</v>
      </c>
      <c r="B11">
        <v>4509.59416487006</v>
      </c>
      <c r="C11">
        <v>1596634.88</v>
      </c>
      <c r="D11">
        <v>6.8982393697579703</v>
      </c>
      <c r="E11">
        <v>1</v>
      </c>
      <c r="F11" t="s">
        <v>7</v>
      </c>
    </row>
    <row r="12" spans="1:6" x14ac:dyDescent="0.2">
      <c r="A12" t="s">
        <v>6</v>
      </c>
      <c r="B12">
        <v>4814.6336241297904</v>
      </c>
      <c r="C12">
        <v>1830987.59</v>
      </c>
      <c r="D12">
        <v>7.2871672606150302</v>
      </c>
      <c r="E12">
        <v>1</v>
      </c>
      <c r="F12" t="s">
        <v>7</v>
      </c>
    </row>
    <row r="13" spans="1:6" x14ac:dyDescent="0.2">
      <c r="A13" t="s">
        <v>10</v>
      </c>
      <c r="B13">
        <v>5159.6881940630301</v>
      </c>
      <c r="C13">
        <v>1985966.55</v>
      </c>
      <c r="D13">
        <v>7.6807436362584403</v>
      </c>
      <c r="E13">
        <v>1</v>
      </c>
      <c r="F13" t="s">
        <v>7</v>
      </c>
    </row>
    <row r="14" spans="1:6" x14ac:dyDescent="0.2">
      <c r="A14" t="s">
        <v>10</v>
      </c>
      <c r="B14">
        <v>5504.7367296762404</v>
      </c>
      <c r="C14">
        <v>1621052.23</v>
      </c>
      <c r="D14">
        <v>8.0382720863501191</v>
      </c>
      <c r="E14">
        <v>1</v>
      </c>
      <c r="F14" t="s">
        <v>7</v>
      </c>
    </row>
    <row r="15" spans="1:6" x14ac:dyDescent="0.2">
      <c r="A15" t="s">
        <v>8</v>
      </c>
      <c r="B15">
        <v>5833.7908303618597</v>
      </c>
      <c r="C15">
        <v>2092011.62</v>
      </c>
      <c r="D15">
        <v>8.5499259765625002</v>
      </c>
      <c r="E15">
        <v>1</v>
      </c>
      <c r="F15" t="s">
        <v>7</v>
      </c>
    </row>
    <row r="16" spans="1:6" x14ac:dyDescent="0.2">
      <c r="A16" t="s">
        <v>10</v>
      </c>
      <c r="B16">
        <v>6178.8495014207601</v>
      </c>
      <c r="C16">
        <v>715947.07</v>
      </c>
      <c r="D16">
        <v>8.8171853279749506</v>
      </c>
      <c r="E16">
        <v>1</v>
      </c>
      <c r="F16" t="s">
        <v>7</v>
      </c>
    </row>
    <row r="17" spans="1:6" x14ac:dyDescent="0.2">
      <c r="A17" t="s">
        <v>9</v>
      </c>
      <c r="B17">
        <v>6484.8715518344197</v>
      </c>
      <c r="C17">
        <v>660058.37</v>
      </c>
      <c r="D17">
        <v>9.0619451121171295</v>
      </c>
      <c r="E17">
        <v>1</v>
      </c>
      <c r="F17" t="s">
        <v>7</v>
      </c>
    </row>
    <row r="18" spans="1:6" x14ac:dyDescent="0.2">
      <c r="A18" t="s">
        <v>9</v>
      </c>
      <c r="B18">
        <v>6790.9011887298102</v>
      </c>
      <c r="C18">
        <v>393170.84</v>
      </c>
      <c r="D18">
        <v>9.2976035789330798</v>
      </c>
      <c r="E18">
        <v>1</v>
      </c>
      <c r="F18" t="s">
        <v>7</v>
      </c>
    </row>
    <row r="19" spans="1:6" x14ac:dyDescent="0.2">
      <c r="A19" t="s">
        <v>8</v>
      </c>
      <c r="B19">
        <v>7119.9447986812702</v>
      </c>
      <c r="C19">
        <v>364115.87</v>
      </c>
      <c r="D19">
        <v>9.8415162280877393</v>
      </c>
      <c r="E19">
        <v>1</v>
      </c>
      <c r="F19" t="s">
        <v>7</v>
      </c>
    </row>
    <row r="20" spans="1:6" x14ac:dyDescent="0.2">
      <c r="A20" t="s">
        <v>9</v>
      </c>
      <c r="B20">
        <v>7425.97363764281</v>
      </c>
      <c r="C20">
        <v>151901.69</v>
      </c>
      <c r="D20">
        <v>9.9594076609293598</v>
      </c>
      <c r="E20">
        <v>1</v>
      </c>
      <c r="F20" t="s">
        <v>7</v>
      </c>
    </row>
    <row r="21" spans="1:6" x14ac:dyDescent="0.2">
      <c r="A21" t="s">
        <v>10</v>
      </c>
      <c r="B21">
        <v>7771.0116374301397</v>
      </c>
      <c r="C21">
        <v>130730.31</v>
      </c>
      <c r="D21">
        <v>10.1679811870734</v>
      </c>
      <c r="E21">
        <v>1</v>
      </c>
      <c r="F21" t="s">
        <v>7</v>
      </c>
    </row>
    <row r="22" spans="1:6" x14ac:dyDescent="0.2">
      <c r="A22" t="s">
        <v>6</v>
      </c>
      <c r="B22">
        <v>8076.0626110843496</v>
      </c>
      <c r="C22">
        <v>112192.95</v>
      </c>
      <c r="D22">
        <v>10.3221977448146</v>
      </c>
      <c r="E22">
        <v>1</v>
      </c>
      <c r="F22" t="s">
        <v>7</v>
      </c>
    </row>
    <row r="23" spans="1:6" x14ac:dyDescent="0.2">
      <c r="A23" t="s">
        <v>6</v>
      </c>
      <c r="B23">
        <v>8381.0779953800702</v>
      </c>
      <c r="C23">
        <v>127111.89</v>
      </c>
      <c r="D23">
        <v>10.376607669957499</v>
      </c>
      <c r="E23">
        <v>1</v>
      </c>
      <c r="F23" t="s">
        <v>7</v>
      </c>
    </row>
    <row r="24" spans="1:6" x14ac:dyDescent="0.2">
      <c r="A24" t="s">
        <v>8</v>
      </c>
      <c r="B24">
        <v>8710.1507296369491</v>
      </c>
      <c r="C24">
        <v>201799.45</v>
      </c>
      <c r="D24">
        <v>10.7395170028687</v>
      </c>
      <c r="E24">
        <v>1</v>
      </c>
      <c r="F24" t="s">
        <v>7</v>
      </c>
    </row>
    <row r="25" spans="1:6" x14ac:dyDescent="0.2">
      <c r="A25" t="s">
        <v>9</v>
      </c>
      <c r="B25">
        <v>9016.18390718099</v>
      </c>
      <c r="C25">
        <v>130656.05</v>
      </c>
      <c r="D25">
        <v>10.857465302514999</v>
      </c>
      <c r="E25">
        <v>1</v>
      </c>
      <c r="F25" t="s">
        <v>7</v>
      </c>
    </row>
    <row r="26" spans="1:6" x14ac:dyDescent="0.2">
      <c r="A26" t="s">
        <v>6</v>
      </c>
      <c r="B26">
        <v>9321.2284088632896</v>
      </c>
      <c r="C26">
        <v>126476.97</v>
      </c>
      <c r="D26">
        <v>10.920996711222299</v>
      </c>
      <c r="E26">
        <v>1</v>
      </c>
      <c r="F26" t="s">
        <v>7</v>
      </c>
    </row>
    <row r="27" spans="1:6" x14ac:dyDescent="0.2">
      <c r="A27" t="s">
        <v>10</v>
      </c>
      <c r="B27">
        <v>9666.2756528594</v>
      </c>
      <c r="C27">
        <v>108888.39</v>
      </c>
      <c r="D27">
        <v>11.070738935041399</v>
      </c>
      <c r="E27">
        <v>1</v>
      </c>
      <c r="F27" t="s">
        <v>7</v>
      </c>
    </row>
    <row r="28" spans="1:6" x14ac:dyDescent="0.2">
      <c r="A28" t="s">
        <v>8</v>
      </c>
      <c r="B28">
        <v>9995.2904698079201</v>
      </c>
      <c r="C28">
        <v>125277.57</v>
      </c>
      <c r="D28">
        <v>11.401891169516199</v>
      </c>
      <c r="E28">
        <v>1</v>
      </c>
      <c r="F28" t="s">
        <v>7</v>
      </c>
    </row>
    <row r="29" spans="1:6" x14ac:dyDescent="0.2">
      <c r="A29" t="s">
        <v>6</v>
      </c>
      <c r="B29">
        <v>10300.3429281803</v>
      </c>
      <c r="C29">
        <v>109135.81</v>
      </c>
      <c r="D29">
        <v>11.4291141863346</v>
      </c>
      <c r="E29">
        <v>1</v>
      </c>
      <c r="F29" t="s">
        <v>7</v>
      </c>
    </row>
    <row r="30" spans="1:6" x14ac:dyDescent="0.2">
      <c r="A30" t="s">
        <v>6</v>
      </c>
      <c r="B30">
        <v>10605.369871528799</v>
      </c>
      <c r="C30">
        <v>73542.320000000007</v>
      </c>
      <c r="D30">
        <v>11.4608730450948</v>
      </c>
      <c r="E30">
        <v>1</v>
      </c>
      <c r="F30" t="s">
        <v>7</v>
      </c>
    </row>
    <row r="31" spans="1:6" x14ac:dyDescent="0.2">
      <c r="A31" t="s">
        <v>8</v>
      </c>
      <c r="B31">
        <v>2283.3086969745</v>
      </c>
      <c r="C31">
        <v>1830361.46</v>
      </c>
      <c r="D31">
        <v>1.0512361283779099</v>
      </c>
      <c r="E31">
        <v>2</v>
      </c>
      <c r="F31" t="s">
        <v>12</v>
      </c>
    </row>
    <row r="32" spans="1:6" x14ac:dyDescent="0.2">
      <c r="A32" t="s">
        <v>9</v>
      </c>
      <c r="B32">
        <v>2612.3639876993502</v>
      </c>
      <c r="C32">
        <v>1800253.4</v>
      </c>
      <c r="D32">
        <v>1.8011496201833099</v>
      </c>
      <c r="E32">
        <v>2</v>
      </c>
      <c r="F32" t="s">
        <v>12</v>
      </c>
    </row>
    <row r="33" spans="1:6" x14ac:dyDescent="0.2">
      <c r="A33" t="s">
        <v>6</v>
      </c>
      <c r="B33">
        <v>2918.39552866433</v>
      </c>
      <c r="C33">
        <v>866422.6</v>
      </c>
      <c r="D33">
        <v>2.9711724873066001</v>
      </c>
      <c r="E33">
        <v>2</v>
      </c>
      <c r="F33" t="s">
        <v>12</v>
      </c>
    </row>
    <row r="34" spans="1:6" x14ac:dyDescent="0.2">
      <c r="A34" t="s">
        <v>9</v>
      </c>
      <c r="B34">
        <v>3223.4349478576501</v>
      </c>
      <c r="C34">
        <v>1687033</v>
      </c>
      <c r="D34">
        <v>3.9605501786549899</v>
      </c>
      <c r="E34">
        <v>2</v>
      </c>
      <c r="F34" t="s">
        <v>12</v>
      </c>
    </row>
    <row r="35" spans="1:6" x14ac:dyDescent="0.2">
      <c r="A35" t="s">
        <v>9</v>
      </c>
      <c r="B35">
        <v>3529.4571530057301</v>
      </c>
      <c r="C35">
        <v>1833521.89</v>
      </c>
      <c r="D35">
        <v>4.8010087624867799</v>
      </c>
      <c r="E35">
        <v>2</v>
      </c>
      <c r="F35" t="s">
        <v>12</v>
      </c>
    </row>
    <row r="36" spans="1:6" x14ac:dyDescent="0.2">
      <c r="A36" t="s">
        <v>11</v>
      </c>
      <c r="B36">
        <v>3835.4855616644099</v>
      </c>
      <c r="C36">
        <v>3040213.78</v>
      </c>
      <c r="D36">
        <v>5.4879047031879402</v>
      </c>
      <c r="E36">
        <v>2</v>
      </c>
      <c r="F36" t="s">
        <v>12</v>
      </c>
    </row>
    <row r="37" spans="1:6" x14ac:dyDescent="0.2">
      <c r="A37" t="s">
        <v>8</v>
      </c>
      <c r="B37">
        <v>4164.5420321550901</v>
      </c>
      <c r="C37">
        <v>1196829.01</v>
      </c>
      <c r="D37">
        <v>6.4506761785030404</v>
      </c>
      <c r="E37">
        <v>2</v>
      </c>
      <c r="F37" t="s">
        <v>12</v>
      </c>
    </row>
    <row r="38" spans="1:6" x14ac:dyDescent="0.2">
      <c r="A38" t="s">
        <v>8</v>
      </c>
      <c r="B38">
        <v>4493.6027150620903</v>
      </c>
      <c r="C38">
        <v>1109034.8400000001</v>
      </c>
      <c r="D38">
        <v>7.2328901525020601</v>
      </c>
      <c r="E38">
        <v>2</v>
      </c>
      <c r="F38" t="s">
        <v>12</v>
      </c>
    </row>
    <row r="39" spans="1:6" x14ac:dyDescent="0.2">
      <c r="A39" t="s">
        <v>6</v>
      </c>
      <c r="B39">
        <v>4798.6368534597204</v>
      </c>
      <c r="C39">
        <v>1628338.23</v>
      </c>
      <c r="D39">
        <v>7.4997938370386796</v>
      </c>
      <c r="E39">
        <v>2</v>
      </c>
      <c r="F39" t="s">
        <v>12</v>
      </c>
    </row>
    <row r="40" spans="1:6" x14ac:dyDescent="0.2">
      <c r="A40" t="s">
        <v>10</v>
      </c>
      <c r="B40">
        <v>5143.6934900664</v>
      </c>
      <c r="C40">
        <v>1738608.6399999999</v>
      </c>
      <c r="D40">
        <v>7.8300619359493204</v>
      </c>
      <c r="E40">
        <v>2</v>
      </c>
      <c r="F40" t="s">
        <v>12</v>
      </c>
    </row>
    <row r="41" spans="1:6" x14ac:dyDescent="0.2">
      <c r="A41" t="s">
        <v>10</v>
      </c>
      <c r="B41">
        <v>5488.7455469463603</v>
      </c>
      <c r="C41">
        <v>1447447.64</v>
      </c>
      <c r="D41">
        <v>8.2510596112092305</v>
      </c>
      <c r="E41">
        <v>2</v>
      </c>
      <c r="F41" t="s">
        <v>12</v>
      </c>
    </row>
    <row r="42" spans="1:6" x14ac:dyDescent="0.2">
      <c r="A42" t="s">
        <v>6</v>
      </c>
      <c r="B42">
        <v>5793.7791273733401</v>
      </c>
      <c r="C42">
        <v>1423729.13</v>
      </c>
      <c r="D42">
        <v>8.4276596522013296</v>
      </c>
      <c r="E42">
        <v>2</v>
      </c>
      <c r="F42" t="s">
        <v>12</v>
      </c>
    </row>
    <row r="43" spans="1:6" x14ac:dyDescent="0.2">
      <c r="A43" t="s">
        <v>8</v>
      </c>
      <c r="B43">
        <v>6122.8427465775503</v>
      </c>
      <c r="C43">
        <v>511264.37</v>
      </c>
      <c r="D43">
        <v>8.9078380798975605</v>
      </c>
      <c r="E43">
        <v>2</v>
      </c>
      <c r="F43" t="s">
        <v>12</v>
      </c>
    </row>
    <row r="44" spans="1:6" x14ac:dyDescent="0.2">
      <c r="A44" t="s">
        <v>10</v>
      </c>
      <c r="B44">
        <v>6467.8814341532998</v>
      </c>
      <c r="C44">
        <v>949710.81</v>
      </c>
      <c r="D44">
        <v>9.20696947929064</v>
      </c>
      <c r="E44">
        <v>2</v>
      </c>
      <c r="F44" t="s">
        <v>12</v>
      </c>
    </row>
    <row r="45" spans="1:6" x14ac:dyDescent="0.2">
      <c r="A45" t="s">
        <v>6</v>
      </c>
      <c r="B45">
        <v>6772.9166071795498</v>
      </c>
      <c r="C45">
        <v>707204.17</v>
      </c>
      <c r="D45">
        <v>9.3882361785252897</v>
      </c>
      <c r="E45">
        <v>2</v>
      </c>
      <c r="F45" t="s">
        <v>12</v>
      </c>
    </row>
    <row r="46" spans="1:6" x14ac:dyDescent="0.2">
      <c r="A46" t="s">
        <v>9</v>
      </c>
      <c r="B46">
        <v>7078.9524293053901</v>
      </c>
      <c r="C46">
        <v>642192.98</v>
      </c>
      <c r="D46">
        <v>9.6329748367945296</v>
      </c>
      <c r="E46">
        <v>2</v>
      </c>
      <c r="F46" t="s">
        <v>12</v>
      </c>
    </row>
    <row r="47" spans="1:6" x14ac:dyDescent="0.2">
      <c r="A47" t="s">
        <v>10</v>
      </c>
      <c r="B47">
        <v>7424.0006705495498</v>
      </c>
      <c r="C47">
        <v>434775.03</v>
      </c>
      <c r="D47">
        <v>9.7780419782479608</v>
      </c>
      <c r="E47">
        <v>2</v>
      </c>
      <c r="F47" t="s">
        <v>12</v>
      </c>
    </row>
    <row r="48" spans="1:6" x14ac:dyDescent="0.2">
      <c r="A48" t="s">
        <v>8</v>
      </c>
      <c r="B48">
        <v>7753.0621964042302</v>
      </c>
      <c r="C48">
        <v>431380.97</v>
      </c>
      <c r="D48">
        <v>10.199732354847599</v>
      </c>
      <c r="E48">
        <v>2</v>
      </c>
      <c r="F48" t="s">
        <v>12</v>
      </c>
    </row>
    <row r="49" spans="1:6" x14ac:dyDescent="0.2">
      <c r="A49" t="s">
        <v>6</v>
      </c>
      <c r="B49">
        <v>8058.0881251906103</v>
      </c>
      <c r="C49">
        <v>151226.51999999999</v>
      </c>
      <c r="D49">
        <v>10.3221977448146</v>
      </c>
      <c r="E49">
        <v>2</v>
      </c>
      <c r="F49" t="s">
        <v>12</v>
      </c>
    </row>
    <row r="50" spans="1:6" x14ac:dyDescent="0.2">
      <c r="A50" t="s">
        <v>6</v>
      </c>
      <c r="B50">
        <v>8363.0803803071303</v>
      </c>
      <c r="C50">
        <v>61917.83</v>
      </c>
      <c r="D50">
        <v>10.3494007126172</v>
      </c>
      <c r="E50">
        <v>2</v>
      </c>
      <c r="F50" t="s">
        <v>12</v>
      </c>
    </row>
    <row r="51" spans="1:6" x14ac:dyDescent="0.2">
      <c r="A51" t="s">
        <v>9</v>
      </c>
      <c r="B51">
        <v>8669.1099845338704</v>
      </c>
      <c r="C51">
        <v>150608.10999999999</v>
      </c>
      <c r="D51">
        <v>10.5308376963615</v>
      </c>
      <c r="E51">
        <v>2</v>
      </c>
      <c r="F51" t="s">
        <v>12</v>
      </c>
    </row>
    <row r="52" spans="1:6" x14ac:dyDescent="0.2">
      <c r="A52" t="s">
        <v>8</v>
      </c>
      <c r="B52">
        <v>8998.1389028319409</v>
      </c>
      <c r="C52">
        <v>147477.76999999999</v>
      </c>
      <c r="D52">
        <v>10.8892314946334</v>
      </c>
      <c r="E52">
        <v>2</v>
      </c>
      <c r="F52" t="s">
        <v>12</v>
      </c>
    </row>
    <row r="53" spans="1:6" x14ac:dyDescent="0.2">
      <c r="A53" t="s">
        <v>6</v>
      </c>
      <c r="B53">
        <v>9303.1627675815907</v>
      </c>
      <c r="C53">
        <v>25813.3</v>
      </c>
      <c r="D53">
        <v>10.857465302514999</v>
      </c>
      <c r="E53">
        <v>2</v>
      </c>
      <c r="F53" t="s">
        <v>12</v>
      </c>
    </row>
    <row r="54" spans="1:6" x14ac:dyDescent="0.2">
      <c r="A54" t="s">
        <v>6</v>
      </c>
      <c r="B54">
        <v>9608.2064124898898</v>
      </c>
      <c r="C54">
        <v>19202.25</v>
      </c>
      <c r="D54">
        <v>10.9799767946879</v>
      </c>
      <c r="E54">
        <v>2</v>
      </c>
      <c r="F54" t="s">
        <v>12</v>
      </c>
    </row>
    <row r="55" spans="1:6" x14ac:dyDescent="0.2">
      <c r="A55" t="s">
        <v>9</v>
      </c>
      <c r="B55">
        <v>9914.25786883613</v>
      </c>
      <c r="C55">
        <v>28621.67</v>
      </c>
      <c r="D55">
        <v>11.038978453048101</v>
      </c>
      <c r="E55">
        <v>2</v>
      </c>
      <c r="F55" t="s">
        <v>12</v>
      </c>
    </row>
    <row r="56" spans="1:6" x14ac:dyDescent="0.2">
      <c r="A56" t="s">
        <v>9</v>
      </c>
      <c r="B56">
        <v>1288.1659800182099</v>
      </c>
      <c r="C56">
        <v>420092.79</v>
      </c>
      <c r="D56">
        <v>0.80731301066080696</v>
      </c>
      <c r="E56">
        <v>3</v>
      </c>
      <c r="F56" t="s">
        <v>13</v>
      </c>
    </row>
    <row r="57" spans="1:6" x14ac:dyDescent="0.2">
      <c r="A57" t="s">
        <v>9</v>
      </c>
      <c r="B57">
        <v>1594.1936248499801</v>
      </c>
      <c r="C57">
        <v>314013.25</v>
      </c>
      <c r="D57">
        <v>0.89764954404830899</v>
      </c>
      <c r="E57">
        <v>3</v>
      </c>
      <c r="F57" t="s">
        <v>13</v>
      </c>
    </row>
    <row r="58" spans="1:6" x14ac:dyDescent="0.2">
      <c r="A58" t="s">
        <v>6</v>
      </c>
      <c r="B58">
        <v>1900.2197900378501</v>
      </c>
      <c r="C58">
        <v>642297.56000000006</v>
      </c>
      <c r="D58">
        <v>0.98799588637351998</v>
      </c>
      <c r="E58">
        <v>3</v>
      </c>
      <c r="F58" t="s">
        <v>13</v>
      </c>
    </row>
    <row r="59" spans="1:6" x14ac:dyDescent="0.2">
      <c r="A59" t="s">
        <v>9</v>
      </c>
      <c r="B59">
        <v>2205.2650340519199</v>
      </c>
      <c r="C59">
        <v>626767.56000000006</v>
      </c>
      <c r="D59">
        <v>1.0196155285517401</v>
      </c>
      <c r="E59">
        <v>3</v>
      </c>
      <c r="F59" t="s">
        <v>13</v>
      </c>
    </row>
    <row r="60" spans="1:6" x14ac:dyDescent="0.2">
      <c r="A60" t="s">
        <v>10</v>
      </c>
      <c r="B60">
        <v>2511.2892890099201</v>
      </c>
      <c r="C60">
        <v>606752.19999999995</v>
      </c>
      <c r="D60">
        <v>2.0405815020879099</v>
      </c>
      <c r="E60">
        <v>3</v>
      </c>
      <c r="F60" t="s">
        <v>13</v>
      </c>
    </row>
    <row r="61" spans="1:6" x14ac:dyDescent="0.2">
      <c r="A61" t="s">
        <v>8</v>
      </c>
      <c r="B61">
        <v>2856.3425225257201</v>
      </c>
      <c r="C61">
        <v>822367.47</v>
      </c>
      <c r="D61">
        <v>2.39745846149127</v>
      </c>
      <c r="E61">
        <v>3</v>
      </c>
      <c r="F61" t="s">
        <v>13</v>
      </c>
    </row>
    <row r="62" spans="1:6" x14ac:dyDescent="0.2">
      <c r="A62" t="s">
        <v>6</v>
      </c>
      <c r="B62">
        <v>3185.3949141956</v>
      </c>
      <c r="C62">
        <v>937851.53</v>
      </c>
      <c r="D62">
        <v>4.7106352444171904</v>
      </c>
      <c r="E62">
        <v>3</v>
      </c>
      <c r="F62" t="s">
        <v>13</v>
      </c>
    </row>
    <row r="63" spans="1:6" x14ac:dyDescent="0.2">
      <c r="A63" t="s">
        <v>9</v>
      </c>
      <c r="B63">
        <v>3490.4346652151999</v>
      </c>
      <c r="C63">
        <v>842811.94</v>
      </c>
      <c r="D63">
        <v>5.1308935439268701</v>
      </c>
      <c r="E63">
        <v>3</v>
      </c>
      <c r="F63" t="s">
        <v>13</v>
      </c>
    </row>
    <row r="64" spans="1:6" x14ac:dyDescent="0.2">
      <c r="A64" t="s">
        <v>10</v>
      </c>
      <c r="B64">
        <v>3796.4617229167602</v>
      </c>
      <c r="C64">
        <v>493680.77</v>
      </c>
      <c r="D64">
        <v>6.0031435604572296</v>
      </c>
      <c r="E64">
        <v>3</v>
      </c>
      <c r="F64" t="s">
        <v>13</v>
      </c>
    </row>
    <row r="65" spans="1:6" x14ac:dyDescent="0.2">
      <c r="A65" t="s">
        <v>6</v>
      </c>
      <c r="B65">
        <v>4141.5132454197501</v>
      </c>
      <c r="C65">
        <v>908612.37</v>
      </c>
      <c r="D65">
        <v>6.1206648703098301</v>
      </c>
      <c r="E65">
        <v>3</v>
      </c>
      <c r="F65" t="s">
        <v>13</v>
      </c>
    </row>
    <row r="66" spans="1:6" x14ac:dyDescent="0.2">
      <c r="A66" t="s">
        <v>10</v>
      </c>
      <c r="B66">
        <v>4446.5636946264603</v>
      </c>
      <c r="C66">
        <v>777481.17</v>
      </c>
      <c r="D66">
        <v>6.5094394937833204</v>
      </c>
      <c r="E66">
        <v>3</v>
      </c>
      <c r="F66" t="s">
        <v>13</v>
      </c>
    </row>
    <row r="67" spans="1:6" x14ac:dyDescent="0.2">
      <c r="A67" t="s">
        <v>8</v>
      </c>
      <c r="B67">
        <v>4791.6114521503196</v>
      </c>
      <c r="C67">
        <v>1050796.18</v>
      </c>
      <c r="D67">
        <v>7.0791212037881204</v>
      </c>
      <c r="E67">
        <v>3</v>
      </c>
      <c r="F67" t="s">
        <v>13</v>
      </c>
    </row>
    <row r="68" spans="1:6" x14ac:dyDescent="0.2">
      <c r="A68" t="s">
        <v>6</v>
      </c>
      <c r="B68">
        <v>5120.6665383645804</v>
      </c>
      <c r="C68">
        <v>1428151.7</v>
      </c>
      <c r="D68">
        <v>7.7395614460786204</v>
      </c>
      <c r="E68">
        <v>3</v>
      </c>
      <c r="F68" t="s">
        <v>13</v>
      </c>
    </row>
    <row r="69" spans="1:6" x14ac:dyDescent="0.2">
      <c r="A69" t="s">
        <v>11</v>
      </c>
      <c r="B69">
        <v>5425.7022309860104</v>
      </c>
      <c r="C69">
        <v>2192108.52</v>
      </c>
      <c r="D69">
        <v>7.9205819860776296</v>
      </c>
      <c r="E69">
        <v>3</v>
      </c>
      <c r="F69" t="s">
        <v>13</v>
      </c>
    </row>
    <row r="70" spans="1:6" x14ac:dyDescent="0.2">
      <c r="A70" t="s">
        <v>8</v>
      </c>
      <c r="B70">
        <v>5754.75651905629</v>
      </c>
      <c r="C70">
        <v>1911519.62</v>
      </c>
      <c r="D70">
        <v>8.4276596522013296</v>
      </c>
      <c r="E70">
        <v>3</v>
      </c>
      <c r="F70" t="s">
        <v>13</v>
      </c>
    </row>
    <row r="71" spans="1:6" x14ac:dyDescent="0.2">
      <c r="A71" t="s">
        <v>9</v>
      </c>
      <c r="B71">
        <v>6060.7906813211002</v>
      </c>
      <c r="C71">
        <v>1047807.91</v>
      </c>
      <c r="D71">
        <v>8.6993728454589796</v>
      </c>
      <c r="E71">
        <v>3</v>
      </c>
      <c r="F71" t="s">
        <v>13</v>
      </c>
    </row>
    <row r="72" spans="1:6" x14ac:dyDescent="0.2">
      <c r="A72" t="s">
        <v>10</v>
      </c>
      <c r="B72">
        <v>6405.8451915049</v>
      </c>
      <c r="C72">
        <v>580786.03</v>
      </c>
      <c r="D72">
        <v>8.9984834865411099</v>
      </c>
      <c r="E72">
        <v>3</v>
      </c>
      <c r="F72" t="s">
        <v>13</v>
      </c>
    </row>
    <row r="73" spans="1:6" x14ac:dyDescent="0.2">
      <c r="A73" t="s">
        <v>10</v>
      </c>
      <c r="B73">
        <v>6750.8930971790196</v>
      </c>
      <c r="C73">
        <v>510126.47</v>
      </c>
      <c r="D73">
        <v>9.2432260270595492</v>
      </c>
      <c r="E73">
        <v>3</v>
      </c>
      <c r="F73" t="s">
        <v>13</v>
      </c>
    </row>
    <row r="74" spans="1:6" x14ac:dyDescent="0.2">
      <c r="A74" t="s">
        <v>9</v>
      </c>
      <c r="B74">
        <v>7056.9166695851</v>
      </c>
      <c r="C74">
        <v>568101.68999999994</v>
      </c>
      <c r="D74">
        <v>9.5423348780155202</v>
      </c>
      <c r="E74">
        <v>3</v>
      </c>
      <c r="F74" t="s">
        <v>13</v>
      </c>
    </row>
    <row r="75" spans="1:6" x14ac:dyDescent="0.2">
      <c r="A75" t="s">
        <v>6</v>
      </c>
      <c r="B75">
        <v>7361.9656072707903</v>
      </c>
      <c r="C75">
        <v>699774.11</v>
      </c>
      <c r="D75">
        <v>9.6329748367945296</v>
      </c>
      <c r="E75">
        <v>3</v>
      </c>
      <c r="F75" t="s">
        <v>13</v>
      </c>
    </row>
    <row r="76" spans="1:6" x14ac:dyDescent="0.2">
      <c r="A76" t="s">
        <v>8</v>
      </c>
      <c r="B76">
        <v>2260.2824891465798</v>
      </c>
      <c r="C76">
        <v>962018.53</v>
      </c>
      <c r="D76">
        <v>0.96089091854095499</v>
      </c>
      <c r="E76">
        <v>4</v>
      </c>
      <c r="F76" t="s">
        <v>14</v>
      </c>
    </row>
    <row r="77" spans="1:6" x14ac:dyDescent="0.2">
      <c r="A77" t="s">
        <v>10</v>
      </c>
      <c r="B77">
        <v>2589.33803234687</v>
      </c>
      <c r="C77">
        <v>1766666.93</v>
      </c>
      <c r="D77">
        <v>1.29066340284348</v>
      </c>
      <c r="E77">
        <v>4</v>
      </c>
      <c r="F77" t="s">
        <v>14</v>
      </c>
    </row>
    <row r="78" spans="1:6" x14ac:dyDescent="0.2">
      <c r="A78" t="s">
        <v>11</v>
      </c>
      <c r="B78">
        <v>2934.3853591321599</v>
      </c>
      <c r="C78">
        <v>1871143.99</v>
      </c>
      <c r="D78">
        <v>2.3703532870292698</v>
      </c>
      <c r="E78">
        <v>4</v>
      </c>
      <c r="F78" t="s">
        <v>14</v>
      </c>
    </row>
    <row r="79" spans="1:6" x14ac:dyDescent="0.2">
      <c r="A79" t="s">
        <v>9</v>
      </c>
      <c r="B79">
        <v>3240.4179231607</v>
      </c>
      <c r="C79">
        <v>1790381.75</v>
      </c>
      <c r="D79">
        <v>3.6623427943070701</v>
      </c>
      <c r="E79">
        <v>4</v>
      </c>
      <c r="F79" t="s">
        <v>14</v>
      </c>
    </row>
    <row r="80" spans="1:6" x14ac:dyDescent="0.2">
      <c r="A80" t="s">
        <v>10</v>
      </c>
      <c r="B80">
        <v>3585.4659757285999</v>
      </c>
      <c r="C80">
        <v>655715.09</v>
      </c>
      <c r="D80">
        <v>4.7377503291448004</v>
      </c>
      <c r="E80">
        <v>4</v>
      </c>
      <c r="F80" t="s">
        <v>14</v>
      </c>
    </row>
    <row r="81" spans="1:6" x14ac:dyDescent="0.2">
      <c r="A81" t="s">
        <v>6</v>
      </c>
      <c r="B81">
        <v>3890.5036920745802</v>
      </c>
      <c r="C81">
        <v>1352280.42</v>
      </c>
      <c r="D81">
        <v>5.2529161369482704</v>
      </c>
      <c r="E81">
        <v>4</v>
      </c>
      <c r="F81" t="s">
        <v>14</v>
      </c>
    </row>
    <row r="82" spans="1:6" x14ac:dyDescent="0.2">
      <c r="A82" t="s">
        <v>9</v>
      </c>
      <c r="B82">
        <v>4196.5327742695199</v>
      </c>
      <c r="C82">
        <v>816869.71</v>
      </c>
      <c r="D82">
        <v>5.8811136698405004</v>
      </c>
      <c r="E82">
        <v>4</v>
      </c>
      <c r="F82" t="s">
        <v>14</v>
      </c>
    </row>
    <row r="83" spans="1:6" x14ac:dyDescent="0.2">
      <c r="A83" t="s">
        <v>8</v>
      </c>
      <c r="B83">
        <v>4525.5891946108204</v>
      </c>
      <c r="C83">
        <v>1288105.49</v>
      </c>
      <c r="D83">
        <v>6.6902697598616303</v>
      </c>
      <c r="E83">
        <v>4</v>
      </c>
      <c r="F83" t="s">
        <v>14</v>
      </c>
    </row>
    <row r="84" spans="1:6" x14ac:dyDescent="0.2">
      <c r="A84" t="s">
        <v>9</v>
      </c>
      <c r="B84">
        <v>4831.6201653555599</v>
      </c>
      <c r="C84">
        <v>1130198.75</v>
      </c>
      <c r="D84">
        <v>7.1424336369514503</v>
      </c>
      <c r="E84">
        <v>4</v>
      </c>
      <c r="F84" t="s">
        <v>14</v>
      </c>
    </row>
    <row r="85" spans="1:6" x14ac:dyDescent="0.2">
      <c r="A85" t="s">
        <v>10</v>
      </c>
      <c r="B85">
        <v>5176.6643297652899</v>
      </c>
      <c r="C85">
        <v>834402.83</v>
      </c>
      <c r="D85">
        <v>7.53146161195437</v>
      </c>
      <c r="E85">
        <v>4</v>
      </c>
      <c r="F85" t="s">
        <v>14</v>
      </c>
    </row>
    <row r="86" spans="1:6" x14ac:dyDescent="0.2">
      <c r="A86" t="s">
        <v>8</v>
      </c>
      <c r="B86">
        <v>5505.7271000278497</v>
      </c>
      <c r="C86">
        <v>96125.97</v>
      </c>
      <c r="D86">
        <v>8.4593535021622994</v>
      </c>
      <c r="E86">
        <v>4</v>
      </c>
      <c r="F86" t="s">
        <v>14</v>
      </c>
    </row>
    <row r="87" spans="1:6" x14ac:dyDescent="0.2">
      <c r="A87" t="s">
        <v>9</v>
      </c>
      <c r="B87">
        <v>5811.7417124765298</v>
      </c>
      <c r="C87">
        <v>150324.45000000001</v>
      </c>
      <c r="D87">
        <v>8.7310867782115906</v>
      </c>
      <c r="E87">
        <v>4</v>
      </c>
      <c r="F87" t="s">
        <v>14</v>
      </c>
    </row>
    <row r="88" spans="1:6" x14ac:dyDescent="0.2">
      <c r="A88" t="s">
        <v>6</v>
      </c>
      <c r="B88">
        <v>6116.7915874399396</v>
      </c>
      <c r="C88">
        <v>272455.2</v>
      </c>
      <c r="D88">
        <v>8.7310867782115906</v>
      </c>
      <c r="E88">
        <v>4</v>
      </c>
      <c r="F88" t="s">
        <v>14</v>
      </c>
    </row>
    <row r="89" spans="1:6" x14ac:dyDescent="0.2">
      <c r="A89" t="s">
        <v>6</v>
      </c>
      <c r="B89">
        <v>6421.8527656141096</v>
      </c>
      <c r="C89">
        <v>351839.71</v>
      </c>
      <c r="D89">
        <v>8.8171853279749506</v>
      </c>
      <c r="E89">
        <v>4</v>
      </c>
      <c r="F89" t="s">
        <v>14</v>
      </c>
    </row>
    <row r="90" spans="1:6" x14ac:dyDescent="0.2">
      <c r="A90" t="s">
        <v>9</v>
      </c>
      <c r="B90">
        <v>6727.8728847213797</v>
      </c>
      <c r="C90">
        <v>253188.4</v>
      </c>
      <c r="D90">
        <v>9.1525961355050391</v>
      </c>
      <c r="E90">
        <v>4</v>
      </c>
      <c r="F90" t="s">
        <v>14</v>
      </c>
    </row>
    <row r="91" spans="1:6" x14ac:dyDescent="0.2">
      <c r="A91" t="s">
        <v>9</v>
      </c>
      <c r="B91">
        <v>7033.8996662453201</v>
      </c>
      <c r="C91">
        <v>326760.33</v>
      </c>
      <c r="D91">
        <v>9.3293358858108508</v>
      </c>
      <c r="E91">
        <v>4</v>
      </c>
      <c r="F91" t="s">
        <v>14</v>
      </c>
    </row>
    <row r="92" spans="1:6" x14ac:dyDescent="0.2">
      <c r="A92" t="s">
        <v>6</v>
      </c>
      <c r="B92">
        <v>7338.9366732281496</v>
      </c>
      <c r="C92">
        <v>436460.27</v>
      </c>
      <c r="D92">
        <v>9.4788820937951392</v>
      </c>
      <c r="E92">
        <v>4</v>
      </c>
      <c r="F92" t="s">
        <v>14</v>
      </c>
    </row>
    <row r="93" spans="1:6" x14ac:dyDescent="0.2">
      <c r="A93" t="s">
        <v>9</v>
      </c>
      <c r="B93">
        <v>1327.18753731077</v>
      </c>
      <c r="C93">
        <v>700871.47</v>
      </c>
      <c r="D93">
        <v>0.78020909385681203</v>
      </c>
      <c r="E93">
        <v>5</v>
      </c>
      <c r="F93" t="s">
        <v>15</v>
      </c>
    </row>
    <row r="94" spans="1:6" x14ac:dyDescent="0.2">
      <c r="A94" t="s">
        <v>8</v>
      </c>
      <c r="B94">
        <v>1633.2151389441699</v>
      </c>
      <c r="C94">
        <v>653886.98</v>
      </c>
      <c r="D94">
        <v>0.87054953532218904</v>
      </c>
      <c r="E94">
        <v>5</v>
      </c>
      <c r="F94" t="s">
        <v>15</v>
      </c>
    </row>
    <row r="95" spans="1:6" x14ac:dyDescent="0.2">
      <c r="A95" t="s">
        <v>6</v>
      </c>
      <c r="B95">
        <v>1962.27185266012</v>
      </c>
      <c r="C95">
        <v>513760.46</v>
      </c>
      <c r="D95">
        <v>1.10996682004929</v>
      </c>
      <c r="E95">
        <v>5</v>
      </c>
      <c r="F95" t="s">
        <v>15</v>
      </c>
    </row>
    <row r="96" spans="1:6" x14ac:dyDescent="0.2">
      <c r="A96" t="s">
        <v>8</v>
      </c>
      <c r="B96">
        <v>2267.3159022587402</v>
      </c>
      <c r="C96">
        <v>982112.59</v>
      </c>
      <c r="D96">
        <v>1.14158847090403</v>
      </c>
      <c r="E96">
        <v>5</v>
      </c>
      <c r="F96" t="s">
        <v>15</v>
      </c>
    </row>
    <row r="97" spans="1:6" x14ac:dyDescent="0.2">
      <c r="A97" t="s">
        <v>10</v>
      </c>
      <c r="B97">
        <v>2596.36956139735</v>
      </c>
      <c r="C97">
        <v>1271106.22</v>
      </c>
      <c r="D97">
        <v>2.93955408689181</v>
      </c>
      <c r="E97">
        <v>5</v>
      </c>
      <c r="F97" t="s">
        <v>15</v>
      </c>
    </row>
    <row r="98" spans="1:6" x14ac:dyDescent="0.2">
      <c r="A98" t="s">
        <v>6</v>
      </c>
      <c r="B98">
        <v>2941.41949628055</v>
      </c>
      <c r="C98">
        <v>1525690.62</v>
      </c>
      <c r="D98">
        <v>4.1096437529405003</v>
      </c>
      <c r="E98">
        <v>5</v>
      </c>
      <c r="F98" t="s">
        <v>15</v>
      </c>
    </row>
    <row r="99" spans="1:6" x14ac:dyDescent="0.2">
      <c r="A99" t="s">
        <v>9</v>
      </c>
      <c r="B99">
        <v>3246.4572584084599</v>
      </c>
      <c r="C99">
        <v>1580630.69</v>
      </c>
      <c r="D99">
        <v>4.5027640199343404</v>
      </c>
      <c r="E99">
        <v>5</v>
      </c>
      <c r="F99" t="s">
        <v>15</v>
      </c>
    </row>
    <row r="100" spans="1:6" x14ac:dyDescent="0.2">
      <c r="A100" t="s">
        <v>11</v>
      </c>
      <c r="B100">
        <v>3552.4878856963101</v>
      </c>
      <c r="C100">
        <v>1756742.39</v>
      </c>
      <c r="D100">
        <v>5.0721379712899504</v>
      </c>
      <c r="E100">
        <v>5</v>
      </c>
      <c r="F100" t="s">
        <v>15</v>
      </c>
    </row>
    <row r="101" spans="1:6" x14ac:dyDescent="0.2">
      <c r="A101" t="s">
        <v>8</v>
      </c>
      <c r="B101">
        <v>3881.5408466408599</v>
      </c>
      <c r="C101">
        <v>1710358.38</v>
      </c>
      <c r="D101">
        <v>6.0573838130315103</v>
      </c>
      <c r="E101">
        <v>5</v>
      </c>
      <c r="F101" t="s">
        <v>15</v>
      </c>
    </row>
    <row r="102" spans="1:6" x14ac:dyDescent="0.2">
      <c r="A102" t="s">
        <v>9</v>
      </c>
      <c r="B102">
        <v>4187.5710013588896</v>
      </c>
      <c r="C102">
        <v>1106505.1399999999</v>
      </c>
      <c r="D102">
        <v>6.6631430204391497</v>
      </c>
      <c r="E102">
        <v>5</v>
      </c>
      <c r="F102" t="s">
        <v>15</v>
      </c>
    </row>
    <row r="103" spans="1:6" x14ac:dyDescent="0.2">
      <c r="A103" t="s">
        <v>8</v>
      </c>
      <c r="B103">
        <v>4516.6230355616099</v>
      </c>
      <c r="C103">
        <v>1557771.73</v>
      </c>
      <c r="D103">
        <v>7.3776465530872297</v>
      </c>
      <c r="E103">
        <v>5</v>
      </c>
      <c r="F103" t="s">
        <v>15</v>
      </c>
    </row>
    <row r="104" spans="1:6" x14ac:dyDescent="0.2">
      <c r="A104" t="s">
        <v>9</v>
      </c>
      <c r="B104">
        <v>4822.6564178540302</v>
      </c>
      <c r="C104">
        <v>1567843.05</v>
      </c>
      <c r="D104">
        <v>7.8572145278930696</v>
      </c>
      <c r="E104">
        <v>5</v>
      </c>
      <c r="F104" t="s">
        <v>15</v>
      </c>
    </row>
    <row r="105" spans="1:6" x14ac:dyDescent="0.2">
      <c r="A105" t="s">
        <v>10</v>
      </c>
      <c r="B105">
        <v>5167.7086851583199</v>
      </c>
      <c r="C105">
        <v>705702.40000000002</v>
      </c>
      <c r="D105">
        <v>8.4593535021622994</v>
      </c>
      <c r="E105">
        <v>5</v>
      </c>
      <c r="F105" t="s">
        <v>15</v>
      </c>
    </row>
    <row r="106" spans="1:6" x14ac:dyDescent="0.2">
      <c r="A106" t="s">
        <v>6</v>
      </c>
      <c r="B106">
        <v>5472.7469019229102</v>
      </c>
      <c r="C106">
        <v>933972.58</v>
      </c>
      <c r="D106">
        <v>8.4276596522013296</v>
      </c>
      <c r="E106">
        <v>5</v>
      </c>
      <c r="F106" t="s">
        <v>15</v>
      </c>
    </row>
    <row r="107" spans="1:6" x14ac:dyDescent="0.2">
      <c r="A107" t="s">
        <v>6</v>
      </c>
      <c r="B107">
        <v>5777.7757277288001</v>
      </c>
      <c r="C107">
        <v>1027195.81</v>
      </c>
      <c r="D107">
        <v>8.6404895440419498</v>
      </c>
      <c r="E107">
        <v>5</v>
      </c>
      <c r="F107" t="s">
        <v>15</v>
      </c>
    </row>
    <row r="108" spans="1:6" x14ac:dyDescent="0.2">
      <c r="A108" t="s">
        <v>8</v>
      </c>
      <c r="B108">
        <v>6106.8326257082799</v>
      </c>
      <c r="C108">
        <v>318523.25</v>
      </c>
      <c r="D108">
        <v>9.1525961355050391</v>
      </c>
      <c r="E108">
        <v>5</v>
      </c>
      <c r="F108" t="s">
        <v>15</v>
      </c>
    </row>
    <row r="109" spans="1:6" x14ac:dyDescent="0.2">
      <c r="A109" t="s">
        <v>6</v>
      </c>
      <c r="B109">
        <v>6411.8659015739304</v>
      </c>
      <c r="C109">
        <v>316719.78999999998</v>
      </c>
      <c r="D109">
        <v>9.2976035789330798</v>
      </c>
      <c r="E109">
        <v>5</v>
      </c>
      <c r="F109" t="s">
        <v>15</v>
      </c>
    </row>
    <row r="110" spans="1:6" x14ac:dyDescent="0.2">
      <c r="A110" t="s">
        <v>9</v>
      </c>
      <c r="B110">
        <v>6717.8853205281303</v>
      </c>
      <c r="C110">
        <v>285227.81</v>
      </c>
      <c r="D110">
        <v>9.5695250208854699</v>
      </c>
      <c r="E110">
        <v>5</v>
      </c>
      <c r="F110" t="s">
        <v>15</v>
      </c>
    </row>
    <row r="111" spans="1:6" x14ac:dyDescent="0.2">
      <c r="A111" t="s">
        <v>10</v>
      </c>
      <c r="B111">
        <v>7062.93733037327</v>
      </c>
      <c r="C111">
        <v>321504.14</v>
      </c>
      <c r="D111">
        <v>9.7508374289353696</v>
      </c>
      <c r="E111">
        <v>5</v>
      </c>
      <c r="F111" t="s">
        <v>15</v>
      </c>
    </row>
    <row r="112" spans="1:6" x14ac:dyDescent="0.2">
      <c r="A112" t="s">
        <v>9</v>
      </c>
      <c r="B112">
        <v>7368.9657085131403</v>
      </c>
      <c r="C112">
        <v>608535.44999999995</v>
      </c>
      <c r="D112">
        <v>9.9865995959123008</v>
      </c>
      <c r="E112">
        <v>5</v>
      </c>
      <c r="F112" t="s">
        <v>15</v>
      </c>
    </row>
    <row r="113" spans="1:6" x14ac:dyDescent="0.2">
      <c r="A113" t="s">
        <v>9</v>
      </c>
      <c r="B113">
        <v>7675.0007338106398</v>
      </c>
      <c r="C113">
        <v>429051.4</v>
      </c>
      <c r="D113">
        <v>10.199732354847599</v>
      </c>
      <c r="E113">
        <v>5</v>
      </c>
      <c r="F113" t="s">
        <v>15</v>
      </c>
    </row>
    <row r="114" spans="1:6" x14ac:dyDescent="0.2">
      <c r="A114" t="s">
        <v>6</v>
      </c>
      <c r="B114">
        <v>7980.0279734109699</v>
      </c>
      <c r="C114">
        <v>347185.6</v>
      </c>
      <c r="D114">
        <v>10.258681902853599</v>
      </c>
      <c r="E114">
        <v>5</v>
      </c>
      <c r="F114" t="s">
        <v>15</v>
      </c>
    </row>
    <row r="115" spans="1:6" x14ac:dyDescent="0.2">
      <c r="A115" t="s">
        <v>8</v>
      </c>
      <c r="B115">
        <v>8309.0587182401905</v>
      </c>
      <c r="C115">
        <v>278827.90999999997</v>
      </c>
      <c r="D115">
        <v>10.5898025528272</v>
      </c>
      <c r="E115">
        <v>5</v>
      </c>
      <c r="F115" t="s">
        <v>15</v>
      </c>
    </row>
    <row r="116" spans="1:6" x14ac:dyDescent="0.2">
      <c r="A116" t="s">
        <v>9</v>
      </c>
      <c r="B116">
        <v>8615.1001501196297</v>
      </c>
      <c r="C116">
        <v>259016.54</v>
      </c>
      <c r="D116">
        <v>10.766735636758799</v>
      </c>
      <c r="E116">
        <v>5</v>
      </c>
      <c r="F116" t="s">
        <v>15</v>
      </c>
    </row>
    <row r="117" spans="1:6" x14ac:dyDescent="0.2">
      <c r="A117" t="s">
        <v>9</v>
      </c>
      <c r="B117">
        <v>8921.1467987063006</v>
      </c>
      <c r="C117">
        <v>211331.76</v>
      </c>
      <c r="D117">
        <v>10.857465302514999</v>
      </c>
      <c r="E117">
        <v>5</v>
      </c>
      <c r="F117" t="s">
        <v>15</v>
      </c>
    </row>
    <row r="118" spans="1:6" x14ac:dyDescent="0.2">
      <c r="A118" t="s">
        <v>6</v>
      </c>
      <c r="B118">
        <v>9226.1651320362307</v>
      </c>
      <c r="C118">
        <v>123918.31</v>
      </c>
      <c r="D118">
        <v>10.920996711222299</v>
      </c>
      <c r="E118">
        <v>5</v>
      </c>
      <c r="F118" t="s">
        <v>15</v>
      </c>
    </row>
    <row r="119" spans="1:6" x14ac:dyDescent="0.2">
      <c r="A119" t="s">
        <v>10</v>
      </c>
      <c r="B119">
        <v>9571.2306805153003</v>
      </c>
      <c r="C119">
        <v>170826.15</v>
      </c>
      <c r="D119">
        <v>11.1024970030467</v>
      </c>
      <c r="E119">
        <v>5</v>
      </c>
      <c r="F119" t="s">
        <v>15</v>
      </c>
    </row>
    <row r="120" spans="1:6" x14ac:dyDescent="0.2">
      <c r="A120" t="s">
        <v>10</v>
      </c>
      <c r="B120">
        <v>9916.2526910338293</v>
      </c>
      <c r="C120">
        <v>79141.350000000006</v>
      </c>
      <c r="D120">
        <v>11.247654928334599</v>
      </c>
      <c r="E120">
        <v>5</v>
      </c>
      <c r="F120" t="s">
        <v>15</v>
      </c>
    </row>
    <row r="121" spans="1:6" x14ac:dyDescent="0.2">
      <c r="A121" t="s">
        <v>8</v>
      </c>
      <c r="B121">
        <v>10245.316553087099</v>
      </c>
      <c r="C121">
        <v>198231</v>
      </c>
      <c r="D121">
        <v>11.492626493740101</v>
      </c>
      <c r="E121">
        <v>5</v>
      </c>
      <c r="F121" t="s">
        <v>15</v>
      </c>
    </row>
    <row r="122" spans="1:6" x14ac:dyDescent="0.2">
      <c r="A122" t="s">
        <v>9</v>
      </c>
      <c r="B122">
        <v>10551.3304061324</v>
      </c>
      <c r="C122">
        <v>168417.11</v>
      </c>
      <c r="D122">
        <v>11.6106496349653</v>
      </c>
      <c r="E122">
        <v>5</v>
      </c>
      <c r="F122" t="s">
        <v>15</v>
      </c>
    </row>
    <row r="123" spans="1:6" x14ac:dyDescent="0.2">
      <c r="A123" t="s">
        <v>9</v>
      </c>
      <c r="B123">
        <v>10857.364621877001</v>
      </c>
      <c r="C123">
        <v>62880.77</v>
      </c>
      <c r="D123">
        <v>11.7014509017944</v>
      </c>
      <c r="E123">
        <v>5</v>
      </c>
      <c r="F123" t="s">
        <v>15</v>
      </c>
    </row>
    <row r="124" spans="1:6" x14ac:dyDescent="0.2">
      <c r="A124" t="s">
        <v>8</v>
      </c>
      <c r="B124">
        <v>11186.4303925282</v>
      </c>
      <c r="C124">
        <v>53412.99</v>
      </c>
      <c r="D124">
        <v>11.910358811982499</v>
      </c>
      <c r="E124">
        <v>5</v>
      </c>
      <c r="F124" t="s">
        <v>15</v>
      </c>
    </row>
    <row r="125" spans="1:6" x14ac:dyDescent="0.2">
      <c r="A125" t="s">
        <v>8</v>
      </c>
      <c r="B125">
        <v>1852.19511047272</v>
      </c>
      <c r="C125">
        <v>136642.54</v>
      </c>
      <c r="D125">
        <v>0.75310868577957202</v>
      </c>
      <c r="E125">
        <v>6</v>
      </c>
      <c r="F125" t="s">
        <v>16</v>
      </c>
    </row>
    <row r="126" spans="1:6" x14ac:dyDescent="0.2">
      <c r="A126" t="s">
        <v>10</v>
      </c>
      <c r="B126">
        <v>2181.2531856788501</v>
      </c>
      <c r="C126">
        <v>546477.29</v>
      </c>
      <c r="D126">
        <v>0.89764954404830899</v>
      </c>
      <c r="E126">
        <v>6</v>
      </c>
      <c r="F126" t="s">
        <v>16</v>
      </c>
    </row>
    <row r="127" spans="1:6" x14ac:dyDescent="0.2">
      <c r="A127" t="s">
        <v>8</v>
      </c>
      <c r="B127">
        <v>2526.29908261847</v>
      </c>
      <c r="C127">
        <v>1725292.81</v>
      </c>
      <c r="D127">
        <v>1.07834287838936</v>
      </c>
      <c r="E127">
        <v>6</v>
      </c>
      <c r="F127" t="s">
        <v>16</v>
      </c>
    </row>
    <row r="128" spans="1:6" x14ac:dyDescent="0.2">
      <c r="A128" t="s">
        <v>9</v>
      </c>
      <c r="B128">
        <v>2855.3575185264199</v>
      </c>
      <c r="C128">
        <v>933621.24</v>
      </c>
      <c r="D128">
        <v>1.98185426152547</v>
      </c>
      <c r="E128">
        <v>6</v>
      </c>
      <c r="F128" t="s">
        <v>16</v>
      </c>
    </row>
    <row r="129" spans="1:6" x14ac:dyDescent="0.2">
      <c r="A129" t="s">
        <v>10</v>
      </c>
      <c r="B129">
        <v>3161.3833170099101</v>
      </c>
      <c r="C129">
        <v>608014.81000000006</v>
      </c>
      <c r="D129">
        <v>3.41839412010511</v>
      </c>
      <c r="E129">
        <v>6</v>
      </c>
      <c r="F129" t="s">
        <v>16</v>
      </c>
    </row>
    <row r="130" spans="1:6" x14ac:dyDescent="0.2">
      <c r="A130" t="s">
        <v>11</v>
      </c>
      <c r="B130">
        <v>3506.43422064983</v>
      </c>
      <c r="C130">
        <v>1753861.88</v>
      </c>
      <c r="D130">
        <v>4.3807517603715302</v>
      </c>
      <c r="E130">
        <v>6</v>
      </c>
      <c r="F130" t="s">
        <v>16</v>
      </c>
    </row>
    <row r="131" spans="1:6" x14ac:dyDescent="0.2">
      <c r="A131" t="s">
        <v>6</v>
      </c>
      <c r="B131">
        <v>3811.4806480655898</v>
      </c>
      <c r="C131">
        <v>373933.46</v>
      </c>
      <c r="D131">
        <v>5.0088751530329398</v>
      </c>
      <c r="E131">
        <v>6</v>
      </c>
      <c r="F131" t="s">
        <v>16</v>
      </c>
    </row>
    <row r="132" spans="1:6" x14ac:dyDescent="0.2">
      <c r="A132" t="s">
        <v>6</v>
      </c>
      <c r="B132">
        <v>4116.5137227245896</v>
      </c>
      <c r="C132">
        <v>288908.93</v>
      </c>
      <c r="D132">
        <v>5.6099234874725301</v>
      </c>
      <c r="E132">
        <v>6</v>
      </c>
      <c r="F132" t="s">
        <v>16</v>
      </c>
    </row>
    <row r="133" spans="1:6" x14ac:dyDescent="0.2">
      <c r="A133" t="s">
        <v>8</v>
      </c>
      <c r="B133">
        <v>4445.5714854768403</v>
      </c>
      <c r="C133">
        <v>431836.21</v>
      </c>
      <c r="D133">
        <v>6.32862172878583</v>
      </c>
      <c r="E133">
        <v>6</v>
      </c>
      <c r="F133" t="s">
        <v>16</v>
      </c>
    </row>
    <row r="134" spans="1:6" x14ac:dyDescent="0.2">
      <c r="A134" t="s">
        <v>9</v>
      </c>
      <c r="B134">
        <v>4751.6029110978698</v>
      </c>
      <c r="C134">
        <v>581623.29</v>
      </c>
      <c r="D134">
        <v>6.8711072182337398</v>
      </c>
      <c r="E134">
        <v>6</v>
      </c>
      <c r="F134" t="s">
        <v>16</v>
      </c>
    </row>
    <row r="135" spans="1:6" x14ac:dyDescent="0.2">
      <c r="A135" t="s">
        <v>6</v>
      </c>
      <c r="B135">
        <v>5056.6411938071997</v>
      </c>
      <c r="C135">
        <v>589501.29</v>
      </c>
      <c r="D135">
        <v>7.2600274618148797</v>
      </c>
      <c r="E135">
        <v>6</v>
      </c>
      <c r="F135" t="s">
        <v>16</v>
      </c>
    </row>
    <row r="136" spans="1:6" x14ac:dyDescent="0.2">
      <c r="A136" t="s">
        <v>6</v>
      </c>
      <c r="B136">
        <v>5361.6746775464799</v>
      </c>
      <c r="C136">
        <v>500482.84</v>
      </c>
      <c r="D136">
        <v>7.4997938370386796</v>
      </c>
      <c r="E136">
        <v>6</v>
      </c>
      <c r="F136" t="s">
        <v>16</v>
      </c>
    </row>
    <row r="137" spans="1:6" x14ac:dyDescent="0.2">
      <c r="A137" t="s">
        <v>9</v>
      </c>
      <c r="B137">
        <v>5667.7049367089303</v>
      </c>
      <c r="C137">
        <v>779932.62</v>
      </c>
      <c r="D137">
        <v>7.8572145278930696</v>
      </c>
      <c r="E137">
        <v>6</v>
      </c>
      <c r="F137" t="s">
        <v>16</v>
      </c>
    </row>
    <row r="138" spans="1:6" x14ac:dyDescent="0.2">
      <c r="A138" t="s">
        <v>9</v>
      </c>
      <c r="B138">
        <v>5973.7390181257797</v>
      </c>
      <c r="C138">
        <v>211419.85</v>
      </c>
      <c r="D138">
        <v>8.1016532953262299</v>
      </c>
      <c r="E138">
        <v>6</v>
      </c>
      <c r="F138" t="s">
        <v>16</v>
      </c>
    </row>
    <row r="139" spans="1:6" x14ac:dyDescent="0.2">
      <c r="A139" t="s">
        <v>8</v>
      </c>
      <c r="B139">
        <v>6302.8006357084496</v>
      </c>
      <c r="C139">
        <v>15056.83</v>
      </c>
      <c r="D139">
        <v>8.9078380798975605</v>
      </c>
      <c r="E139">
        <v>6</v>
      </c>
      <c r="F139" t="s">
        <v>16</v>
      </c>
    </row>
    <row r="140" spans="1:6" x14ac:dyDescent="0.2">
      <c r="A140" t="s">
        <v>8</v>
      </c>
      <c r="B140">
        <v>6631.8550862089396</v>
      </c>
      <c r="C140">
        <v>76328.72</v>
      </c>
      <c r="D140">
        <v>9.0619451121171295</v>
      </c>
      <c r="E140">
        <v>6</v>
      </c>
      <c r="F140" t="s">
        <v>16</v>
      </c>
    </row>
    <row r="141" spans="1:6" x14ac:dyDescent="0.2">
      <c r="A141" t="s">
        <v>10</v>
      </c>
      <c r="B141">
        <v>6976.8948416705698</v>
      </c>
      <c r="C141">
        <v>401009.91999999998</v>
      </c>
      <c r="D141">
        <v>9.3293358858108508</v>
      </c>
      <c r="E141">
        <v>6</v>
      </c>
      <c r="F141" t="s">
        <v>16</v>
      </c>
    </row>
    <row r="142" spans="1:6" x14ac:dyDescent="0.2">
      <c r="A142" t="s">
        <v>10</v>
      </c>
      <c r="B142">
        <v>7321.9481080202804</v>
      </c>
      <c r="C142">
        <v>188856.18</v>
      </c>
      <c r="D142">
        <v>9.5695250208854699</v>
      </c>
      <c r="E142">
        <v>6</v>
      </c>
      <c r="F142" t="s">
        <v>16</v>
      </c>
    </row>
    <row r="143" spans="1:6" x14ac:dyDescent="0.2">
      <c r="A143" t="s">
        <v>6</v>
      </c>
      <c r="B143">
        <v>1994.26129716181</v>
      </c>
      <c r="C143">
        <v>278194.34999999998</v>
      </c>
      <c r="D143">
        <v>0.87054953532218904</v>
      </c>
      <c r="E143">
        <v>7</v>
      </c>
      <c r="F143" t="s">
        <v>17</v>
      </c>
    </row>
    <row r="144" spans="1:6" x14ac:dyDescent="0.2">
      <c r="A144" t="s">
        <v>8</v>
      </c>
      <c r="B144">
        <v>2299.3000233368102</v>
      </c>
      <c r="C144">
        <v>853901.79</v>
      </c>
      <c r="D144">
        <v>0.98799588637351998</v>
      </c>
      <c r="E144">
        <v>7</v>
      </c>
      <c r="F144" t="s">
        <v>17</v>
      </c>
    </row>
    <row r="145" spans="1:6" x14ac:dyDescent="0.2">
      <c r="A145" t="s">
        <v>8</v>
      </c>
      <c r="B145">
        <v>2628.35723348992</v>
      </c>
      <c r="C145">
        <v>1473326.46</v>
      </c>
      <c r="D145">
        <v>1.32228308674494</v>
      </c>
      <c r="E145">
        <v>7</v>
      </c>
      <c r="F145" t="s">
        <v>17</v>
      </c>
    </row>
    <row r="146" spans="1:6" x14ac:dyDescent="0.2">
      <c r="A146" t="s">
        <v>6</v>
      </c>
      <c r="B146">
        <v>2957.4181365597301</v>
      </c>
      <c r="C146">
        <v>1103027.77</v>
      </c>
      <c r="D146">
        <v>3.68945406235059</v>
      </c>
      <c r="E146">
        <v>7</v>
      </c>
      <c r="F146" t="s">
        <v>17</v>
      </c>
    </row>
    <row r="147" spans="1:6" x14ac:dyDescent="0.2">
      <c r="A147" t="s">
        <v>9</v>
      </c>
      <c r="B147">
        <v>3262.4548520952098</v>
      </c>
      <c r="C147">
        <v>1236761.3999999999</v>
      </c>
      <c r="D147">
        <v>3.9605501786549899</v>
      </c>
      <c r="E147">
        <v>7</v>
      </c>
      <c r="F147" t="s">
        <v>17</v>
      </c>
    </row>
    <row r="148" spans="1:6" x14ac:dyDescent="0.2">
      <c r="A148" t="s">
        <v>8</v>
      </c>
      <c r="B148">
        <v>3568.4796040867</v>
      </c>
      <c r="C148">
        <v>1696053.4</v>
      </c>
      <c r="D148">
        <v>4.8281210438092499</v>
      </c>
      <c r="E148">
        <v>7</v>
      </c>
      <c r="F148" t="s">
        <v>17</v>
      </c>
    </row>
    <row r="149" spans="1:6" x14ac:dyDescent="0.2">
      <c r="A149" t="s">
        <v>6</v>
      </c>
      <c r="B149">
        <v>3897.5356053076798</v>
      </c>
      <c r="C149">
        <v>1384322.18</v>
      </c>
      <c r="D149">
        <v>5.7590797618706997</v>
      </c>
      <c r="E149">
        <v>7</v>
      </c>
      <c r="F149" t="s">
        <v>17</v>
      </c>
    </row>
    <row r="150" spans="1:6" x14ac:dyDescent="0.2">
      <c r="A150" t="s">
        <v>10</v>
      </c>
      <c r="B150">
        <v>4202.5741383816303</v>
      </c>
      <c r="C150">
        <v>1199736.71</v>
      </c>
      <c r="D150">
        <v>6.2382045622348796</v>
      </c>
      <c r="E150">
        <v>7</v>
      </c>
      <c r="F150" t="s">
        <v>17</v>
      </c>
    </row>
    <row r="151" spans="1:6" x14ac:dyDescent="0.2">
      <c r="A151" t="s">
        <v>9</v>
      </c>
      <c r="B151">
        <v>4547.6219709499001</v>
      </c>
      <c r="C151">
        <v>1362837.7</v>
      </c>
      <c r="D151">
        <v>6.8078124936103803</v>
      </c>
      <c r="E151">
        <v>7</v>
      </c>
      <c r="F151" t="s">
        <v>17</v>
      </c>
    </row>
    <row r="152" spans="1:6" x14ac:dyDescent="0.2">
      <c r="A152" t="s">
        <v>8</v>
      </c>
      <c r="B152">
        <v>4853.6547353161804</v>
      </c>
      <c r="C152">
        <v>1645662.71</v>
      </c>
      <c r="D152">
        <v>7.2600274618148797</v>
      </c>
      <c r="E152">
        <v>7</v>
      </c>
      <c r="F152" t="s">
        <v>17</v>
      </c>
    </row>
    <row r="153" spans="1:6" x14ac:dyDescent="0.2">
      <c r="A153" t="s">
        <v>11</v>
      </c>
      <c r="B153">
        <v>5182.7072699727496</v>
      </c>
      <c r="C153">
        <v>1727861.21</v>
      </c>
      <c r="D153">
        <v>7.8300619359493204</v>
      </c>
      <c r="E153">
        <v>7</v>
      </c>
      <c r="F153" t="s">
        <v>17</v>
      </c>
    </row>
    <row r="154" spans="1:6" x14ac:dyDescent="0.2">
      <c r="A154" t="s">
        <v>8</v>
      </c>
      <c r="B154">
        <v>5511.7691721967203</v>
      </c>
      <c r="C154">
        <v>807138.93</v>
      </c>
      <c r="D154">
        <v>8.4004820779641491</v>
      </c>
      <c r="E154">
        <v>7</v>
      </c>
      <c r="F154" t="s">
        <v>17</v>
      </c>
    </row>
    <row r="155" spans="1:6" x14ac:dyDescent="0.2">
      <c r="A155" t="s">
        <v>10</v>
      </c>
      <c r="B155">
        <v>5856.8215474259196</v>
      </c>
      <c r="C155">
        <v>826726.03</v>
      </c>
      <c r="D155">
        <v>8.7628044779777508</v>
      </c>
      <c r="E155">
        <v>7</v>
      </c>
      <c r="F155" t="s">
        <v>17</v>
      </c>
    </row>
    <row r="156" spans="1:6" x14ac:dyDescent="0.2">
      <c r="A156" t="s">
        <v>10</v>
      </c>
      <c r="B156">
        <v>6201.8778765851503</v>
      </c>
      <c r="C156">
        <v>259375.44</v>
      </c>
      <c r="D156">
        <v>8.9984834865411099</v>
      </c>
      <c r="E156">
        <v>7</v>
      </c>
      <c r="F156" t="s">
        <v>17</v>
      </c>
    </row>
    <row r="157" spans="1:6" x14ac:dyDescent="0.2">
      <c r="A157" t="s">
        <v>6</v>
      </c>
      <c r="B157">
        <v>6506.9128397765498</v>
      </c>
      <c r="C157">
        <v>614408.85</v>
      </c>
      <c r="D157">
        <v>9.20696947929064</v>
      </c>
      <c r="E157">
        <v>7</v>
      </c>
      <c r="F157" t="s">
        <v>17</v>
      </c>
    </row>
    <row r="158" spans="1:6" x14ac:dyDescent="0.2">
      <c r="A158" t="s">
        <v>8</v>
      </c>
      <c r="B158">
        <v>6835.9584914861398</v>
      </c>
      <c r="C158">
        <v>524091.27</v>
      </c>
      <c r="D158">
        <v>9.6873567954381308</v>
      </c>
      <c r="E158">
        <v>7</v>
      </c>
      <c r="F158" t="s">
        <v>17</v>
      </c>
    </row>
    <row r="159" spans="1:6" x14ac:dyDescent="0.2">
      <c r="A159" t="s">
        <v>6</v>
      </c>
      <c r="B159">
        <v>7140.9822129556096</v>
      </c>
      <c r="C159">
        <v>503110.98</v>
      </c>
      <c r="D159">
        <v>9.8097735281467404</v>
      </c>
      <c r="E159">
        <v>7</v>
      </c>
      <c r="F159" t="s">
        <v>17</v>
      </c>
    </row>
    <row r="160" spans="1:6" x14ac:dyDescent="0.2">
      <c r="A160" t="s">
        <v>9</v>
      </c>
      <c r="B160">
        <v>7447.0264579786099</v>
      </c>
      <c r="C160">
        <v>412018.88</v>
      </c>
      <c r="D160">
        <v>9.9865995959123008</v>
      </c>
      <c r="E160">
        <v>7</v>
      </c>
      <c r="F160" t="s">
        <v>17</v>
      </c>
    </row>
    <row r="161" spans="1:6" x14ac:dyDescent="0.2">
      <c r="A161" t="s">
        <v>6</v>
      </c>
      <c r="B161">
        <v>7752.0446673656497</v>
      </c>
      <c r="C161">
        <v>140526.42000000001</v>
      </c>
      <c r="D161">
        <v>10.050083895095201</v>
      </c>
      <c r="E161">
        <v>7</v>
      </c>
      <c r="F161" t="s">
        <v>17</v>
      </c>
    </row>
    <row r="162" spans="1:6" x14ac:dyDescent="0.2">
      <c r="A162" t="s">
        <v>8</v>
      </c>
      <c r="B162">
        <v>8081.1008236868502</v>
      </c>
      <c r="C162">
        <v>357414.89</v>
      </c>
      <c r="D162">
        <v>10.5308376963615</v>
      </c>
      <c r="E162">
        <v>7</v>
      </c>
      <c r="F162" t="s">
        <v>17</v>
      </c>
    </row>
    <row r="163" spans="1:6" x14ac:dyDescent="0.2">
      <c r="A163" t="s">
        <v>10</v>
      </c>
      <c r="B163">
        <v>8426.1212171279494</v>
      </c>
      <c r="C163">
        <v>44802.03</v>
      </c>
      <c r="D163">
        <v>10.5898025528272</v>
      </c>
      <c r="E163">
        <v>7</v>
      </c>
      <c r="F163" t="s">
        <v>17</v>
      </c>
    </row>
    <row r="164" spans="1:6" x14ac:dyDescent="0.2">
      <c r="A164" t="s">
        <v>9</v>
      </c>
      <c r="B164">
        <v>8732.1596480729695</v>
      </c>
      <c r="C164">
        <v>122721.16</v>
      </c>
      <c r="D164">
        <v>10.857465302514999</v>
      </c>
      <c r="E164">
        <v>7</v>
      </c>
      <c r="F164" t="s">
        <v>17</v>
      </c>
    </row>
    <row r="165" spans="1:6" x14ac:dyDescent="0.2">
      <c r="A165" t="s">
        <v>10</v>
      </c>
      <c r="B165">
        <v>9077.2006306344992</v>
      </c>
      <c r="C165">
        <v>100987.92</v>
      </c>
      <c r="D165">
        <v>10.857465302514999</v>
      </c>
      <c r="E165">
        <v>7</v>
      </c>
      <c r="F165" t="s">
        <v>17</v>
      </c>
    </row>
    <row r="166" spans="1:6" x14ac:dyDescent="0.2">
      <c r="A166" t="s">
        <v>10</v>
      </c>
      <c r="B166">
        <v>9422.2378611469194</v>
      </c>
      <c r="C166">
        <v>126525.48</v>
      </c>
      <c r="D166">
        <v>11.1024970030467</v>
      </c>
      <c r="E166">
        <v>7</v>
      </c>
      <c r="F166" t="s">
        <v>17</v>
      </c>
    </row>
    <row r="167" spans="1:6" x14ac:dyDescent="0.2">
      <c r="A167" t="s">
        <v>9</v>
      </c>
      <c r="B167">
        <v>9728.2889096816198</v>
      </c>
      <c r="C167">
        <v>194686.11</v>
      </c>
      <c r="D167">
        <v>11.247654928334599</v>
      </c>
      <c r="E167">
        <v>7</v>
      </c>
      <c r="F167" t="s">
        <v>17</v>
      </c>
    </row>
    <row r="168" spans="1:6" x14ac:dyDescent="0.2">
      <c r="A168" t="s">
        <v>9</v>
      </c>
      <c r="B168">
        <v>10034.3045411275</v>
      </c>
      <c r="C168">
        <v>108789.91</v>
      </c>
      <c r="D168">
        <v>11.370116702286399</v>
      </c>
      <c r="E168">
        <v>7</v>
      </c>
      <c r="F168" t="s">
        <v>17</v>
      </c>
    </row>
    <row r="169" spans="1:6" x14ac:dyDescent="0.2">
      <c r="A169" t="s">
        <v>8</v>
      </c>
      <c r="B169">
        <v>10363.375489764399</v>
      </c>
      <c r="C169">
        <v>69818.98</v>
      </c>
      <c r="D169">
        <v>11.583410552708299</v>
      </c>
      <c r="E169">
        <v>7</v>
      </c>
      <c r="F169" t="s">
        <v>17</v>
      </c>
    </row>
    <row r="170" spans="1:6" x14ac:dyDescent="0.2">
      <c r="A170" t="s">
        <v>9</v>
      </c>
      <c r="B170">
        <v>10669.3894707988</v>
      </c>
      <c r="C170">
        <v>133191.35</v>
      </c>
      <c r="D170">
        <v>11.728699936040201</v>
      </c>
      <c r="E170">
        <v>7</v>
      </c>
      <c r="F170" t="s">
        <v>17</v>
      </c>
    </row>
    <row r="171" spans="1:6" x14ac:dyDescent="0.2">
      <c r="A171" t="s">
        <v>10</v>
      </c>
      <c r="B171">
        <v>11014.4381120583</v>
      </c>
      <c r="C171">
        <v>35113.57</v>
      </c>
      <c r="D171">
        <v>11.7922851359526</v>
      </c>
      <c r="E171">
        <v>7</v>
      </c>
      <c r="F171" t="s">
        <v>17</v>
      </c>
    </row>
    <row r="172" spans="1:6" x14ac:dyDescent="0.2">
      <c r="A172" t="s">
        <v>6</v>
      </c>
      <c r="B172">
        <v>11319.442508923101</v>
      </c>
      <c r="C172">
        <v>31869.35</v>
      </c>
      <c r="D172">
        <v>11.8831181362947</v>
      </c>
      <c r="E172">
        <v>7</v>
      </c>
      <c r="F172" t="s">
        <v>17</v>
      </c>
    </row>
    <row r="173" spans="1:6" x14ac:dyDescent="0.2">
      <c r="A173" t="s">
        <v>10</v>
      </c>
      <c r="B173">
        <v>11664.501856262301</v>
      </c>
      <c r="C173">
        <v>20358.95</v>
      </c>
      <c r="D173">
        <v>12.0283913290183</v>
      </c>
      <c r="E173">
        <v>7</v>
      </c>
      <c r="F173" t="s">
        <v>17</v>
      </c>
    </row>
    <row r="174" spans="1:6" x14ac:dyDescent="0.2">
      <c r="A174" t="s">
        <v>10</v>
      </c>
      <c r="B174">
        <v>2204.2782260443801</v>
      </c>
      <c r="C174">
        <v>375014.71</v>
      </c>
      <c r="D174">
        <v>0.96089091854095499</v>
      </c>
      <c r="E174">
        <v>8</v>
      </c>
      <c r="F174" t="s">
        <v>18</v>
      </c>
    </row>
    <row r="175" spans="1:6" x14ac:dyDescent="0.2">
      <c r="A175" t="s">
        <v>8</v>
      </c>
      <c r="B175">
        <v>2549.32922959588</v>
      </c>
      <c r="C175">
        <v>909663.08</v>
      </c>
      <c r="D175">
        <v>1.1686931864102701</v>
      </c>
      <c r="E175">
        <v>8</v>
      </c>
      <c r="F175" t="s">
        <v>18</v>
      </c>
    </row>
    <row r="176" spans="1:6" x14ac:dyDescent="0.2">
      <c r="A176" t="s">
        <v>9</v>
      </c>
      <c r="B176">
        <v>2878.3853879855501</v>
      </c>
      <c r="C176">
        <v>743425.8</v>
      </c>
      <c r="D176">
        <v>2.8492029364585898</v>
      </c>
      <c r="E176">
        <v>8</v>
      </c>
      <c r="F176" t="s">
        <v>18</v>
      </c>
    </row>
    <row r="177" spans="1:6" x14ac:dyDescent="0.2">
      <c r="A177" t="s">
        <v>8</v>
      </c>
      <c r="B177">
        <v>3184.41097381792</v>
      </c>
      <c r="C177">
        <v>618199.47</v>
      </c>
      <c r="D177">
        <v>4.4711309110800403</v>
      </c>
      <c r="E177">
        <v>8</v>
      </c>
      <c r="F177" t="s">
        <v>18</v>
      </c>
    </row>
    <row r="178" spans="1:6" x14ac:dyDescent="0.2">
      <c r="A178" t="s">
        <v>10</v>
      </c>
      <c r="B178">
        <v>3513.4686433209499</v>
      </c>
      <c r="C178">
        <v>504548.06</v>
      </c>
      <c r="D178">
        <v>5.6415601447900103</v>
      </c>
      <c r="E178">
        <v>8</v>
      </c>
      <c r="F178" t="s">
        <v>18</v>
      </c>
    </row>
    <row r="179" spans="1:6" x14ac:dyDescent="0.2">
      <c r="A179" t="s">
        <v>11</v>
      </c>
      <c r="B179">
        <v>3858.5148381149802</v>
      </c>
      <c r="C179">
        <v>1591435.24</v>
      </c>
      <c r="D179">
        <v>5.9127516781965896</v>
      </c>
      <c r="E179">
        <v>8</v>
      </c>
      <c r="F179" t="s">
        <v>18</v>
      </c>
    </row>
    <row r="180" spans="1:6" x14ac:dyDescent="0.2">
      <c r="A180" t="s">
        <v>10</v>
      </c>
      <c r="B180">
        <v>4203.5651937519697</v>
      </c>
      <c r="C180">
        <v>595085.43000000005</v>
      </c>
      <c r="D180">
        <v>6.41902668631871</v>
      </c>
      <c r="E180">
        <v>8</v>
      </c>
      <c r="F180" t="s">
        <v>18</v>
      </c>
    </row>
    <row r="181" spans="1:6" x14ac:dyDescent="0.2">
      <c r="A181" t="s">
        <v>6</v>
      </c>
      <c r="B181">
        <v>4508.6051735402198</v>
      </c>
      <c r="C181">
        <v>813296.38</v>
      </c>
      <c r="D181">
        <v>6.7173964198112497</v>
      </c>
      <c r="E181">
        <v>8</v>
      </c>
      <c r="F181" t="s">
        <v>18</v>
      </c>
    </row>
    <row r="182" spans="1:6" x14ac:dyDescent="0.2">
      <c r="A182" t="s">
        <v>6</v>
      </c>
      <c r="B182">
        <v>4813.6435372120004</v>
      </c>
      <c r="C182">
        <v>953410.59</v>
      </c>
      <c r="D182">
        <v>7.1107762113889104</v>
      </c>
      <c r="E182">
        <v>8</v>
      </c>
      <c r="F182" t="s">
        <v>18</v>
      </c>
    </row>
    <row r="183" spans="1:6" x14ac:dyDescent="0.2">
      <c r="A183" t="s">
        <v>9</v>
      </c>
      <c r="B183">
        <v>5119.6738201062099</v>
      </c>
      <c r="C183">
        <v>1330753.96</v>
      </c>
      <c r="D183">
        <v>7.53146161195437</v>
      </c>
      <c r="E183">
        <v>8</v>
      </c>
      <c r="F183" t="s">
        <v>18</v>
      </c>
    </row>
    <row r="184" spans="1:6" x14ac:dyDescent="0.2">
      <c r="A184" t="s">
        <v>8</v>
      </c>
      <c r="B184">
        <v>5448.7215054201697</v>
      </c>
      <c r="C184">
        <v>1056585.3999999999</v>
      </c>
      <c r="D184">
        <v>8.0382720863501191</v>
      </c>
      <c r="E184">
        <v>8</v>
      </c>
      <c r="F184" t="s">
        <v>18</v>
      </c>
    </row>
    <row r="185" spans="1:6" x14ac:dyDescent="0.2">
      <c r="A185" t="s">
        <v>6</v>
      </c>
      <c r="B185">
        <v>5753.7426394705099</v>
      </c>
      <c r="C185">
        <v>287570.17</v>
      </c>
      <c r="D185">
        <v>8.1921988204797103</v>
      </c>
      <c r="E185">
        <v>8</v>
      </c>
      <c r="F185" t="s">
        <v>18</v>
      </c>
    </row>
    <row r="186" spans="1:6" x14ac:dyDescent="0.2">
      <c r="A186" t="s">
        <v>10</v>
      </c>
      <c r="B186">
        <v>6098.82451046389</v>
      </c>
      <c r="C186">
        <v>375890.2</v>
      </c>
      <c r="D186">
        <v>8.5816215947945906</v>
      </c>
      <c r="E186">
        <v>8</v>
      </c>
      <c r="F186" t="s">
        <v>18</v>
      </c>
    </row>
    <row r="187" spans="1:6" x14ac:dyDescent="0.2">
      <c r="A187" t="s">
        <v>8</v>
      </c>
      <c r="B187">
        <v>6427.8768934388499</v>
      </c>
      <c r="C187">
        <v>283588.46000000002</v>
      </c>
      <c r="D187">
        <v>9.1525961355050391</v>
      </c>
      <c r="E187">
        <v>8</v>
      </c>
      <c r="F187" t="s">
        <v>18</v>
      </c>
    </row>
    <row r="188" spans="1:6" x14ac:dyDescent="0.2">
      <c r="A188" t="s">
        <v>6</v>
      </c>
      <c r="B188">
        <v>6732.8650282113103</v>
      </c>
      <c r="C188">
        <v>92537.14</v>
      </c>
      <c r="D188">
        <v>9.1208622272491393</v>
      </c>
      <c r="E188">
        <v>8</v>
      </c>
      <c r="F188" t="s">
        <v>18</v>
      </c>
    </row>
    <row r="189" spans="1:6" x14ac:dyDescent="0.2">
      <c r="A189" t="s">
        <v>10</v>
      </c>
      <c r="B189">
        <v>7077.9229111499899</v>
      </c>
      <c r="C189">
        <v>120486.27</v>
      </c>
      <c r="D189">
        <v>9.4199661111513802</v>
      </c>
      <c r="E189">
        <v>8</v>
      </c>
      <c r="F189" t="s">
        <v>18</v>
      </c>
    </row>
    <row r="190" spans="1:6" x14ac:dyDescent="0.2">
      <c r="A190" t="s">
        <v>9</v>
      </c>
      <c r="B190">
        <v>7383.9545506918403</v>
      </c>
      <c r="C190">
        <v>297368.67</v>
      </c>
      <c r="D190">
        <v>9.6601674453099609</v>
      </c>
      <c r="E190">
        <v>8</v>
      </c>
      <c r="F190" t="s">
        <v>18</v>
      </c>
    </row>
    <row r="191" spans="1:6" x14ac:dyDescent="0.2">
      <c r="A191" t="s">
        <v>8</v>
      </c>
      <c r="B191">
        <v>7713.0090686629101</v>
      </c>
      <c r="C191">
        <v>251246.28</v>
      </c>
      <c r="D191">
        <v>10.050083895095201</v>
      </c>
      <c r="E191">
        <v>8</v>
      </c>
      <c r="F191" t="s">
        <v>18</v>
      </c>
    </row>
    <row r="192" spans="1:6" x14ac:dyDescent="0.2">
      <c r="A192" t="s">
        <v>8</v>
      </c>
      <c r="B192">
        <v>8042.0505195985097</v>
      </c>
      <c r="C192">
        <v>78581.8</v>
      </c>
      <c r="D192">
        <v>10.4129120862166</v>
      </c>
      <c r="E192">
        <v>8</v>
      </c>
      <c r="F192" t="s">
        <v>18</v>
      </c>
    </row>
    <row r="193" spans="1:6" x14ac:dyDescent="0.2">
      <c r="A193" t="s">
        <v>6</v>
      </c>
      <c r="B193">
        <v>8347.0736775029509</v>
      </c>
      <c r="C193">
        <v>126559.45</v>
      </c>
      <c r="D193">
        <v>10.5898025528272</v>
      </c>
      <c r="E193">
        <v>8</v>
      </c>
      <c r="F193" t="s">
        <v>18</v>
      </c>
    </row>
    <row r="194" spans="1:6" x14ac:dyDescent="0.2">
      <c r="A194" t="s">
        <v>9</v>
      </c>
      <c r="B194">
        <v>8653.1097968198992</v>
      </c>
      <c r="C194">
        <v>102332.99</v>
      </c>
      <c r="D194">
        <v>10.6487744962851</v>
      </c>
      <c r="E194">
        <v>8</v>
      </c>
      <c r="F194" t="s">
        <v>18</v>
      </c>
    </row>
    <row r="195" spans="1:6" x14ac:dyDescent="0.2">
      <c r="A195" t="s">
        <v>9</v>
      </c>
      <c r="B195">
        <v>8959.1561728418201</v>
      </c>
      <c r="C195">
        <v>132076.04</v>
      </c>
      <c r="D195">
        <v>10.857465302514999</v>
      </c>
      <c r="E195">
        <v>8</v>
      </c>
      <c r="F195" t="s">
        <v>18</v>
      </c>
    </row>
    <row r="196" spans="1:6" x14ac:dyDescent="0.2">
      <c r="A196" t="s">
        <v>9</v>
      </c>
      <c r="B196">
        <v>9265.20784157661</v>
      </c>
      <c r="C196">
        <v>222956.91</v>
      </c>
      <c r="D196">
        <v>10.9799767946879</v>
      </c>
      <c r="E196">
        <v>8</v>
      </c>
      <c r="F196" t="s">
        <v>18</v>
      </c>
    </row>
    <row r="197" spans="1:6" x14ac:dyDescent="0.2">
      <c r="A197" t="s">
        <v>8</v>
      </c>
      <c r="B197">
        <v>9594.2096483123205</v>
      </c>
      <c r="C197">
        <v>66139.179999999993</v>
      </c>
      <c r="D197">
        <v>11.220441811847699</v>
      </c>
      <c r="E197">
        <v>8</v>
      </c>
      <c r="F197" t="s">
        <v>18</v>
      </c>
    </row>
    <row r="198" spans="1:6" x14ac:dyDescent="0.2">
      <c r="A198" t="s">
        <v>10</v>
      </c>
      <c r="B198">
        <v>9939.2622519723209</v>
      </c>
      <c r="C198">
        <v>224966.64</v>
      </c>
      <c r="D198">
        <v>11.370116702286399</v>
      </c>
      <c r="E198">
        <v>8</v>
      </c>
      <c r="F198" t="s">
        <v>18</v>
      </c>
    </row>
    <row r="199" spans="1:6" x14ac:dyDescent="0.2">
      <c r="A199" t="s">
        <v>10</v>
      </c>
      <c r="B199">
        <v>2227.3112102569899</v>
      </c>
      <c r="C199">
        <v>69575</v>
      </c>
      <c r="D199">
        <v>1.32228308674494</v>
      </c>
      <c r="E199">
        <v>9</v>
      </c>
      <c r="F199" t="s">
        <v>19</v>
      </c>
    </row>
    <row r="200" spans="1:6" x14ac:dyDescent="0.2">
      <c r="A200" t="s">
        <v>8</v>
      </c>
      <c r="B200">
        <v>2572.3547656247301</v>
      </c>
      <c r="C200">
        <v>314394.86</v>
      </c>
      <c r="D200">
        <v>2.1896585698604598</v>
      </c>
      <c r="E200">
        <v>9</v>
      </c>
      <c r="F200" t="s">
        <v>19</v>
      </c>
    </row>
    <row r="201" spans="1:6" x14ac:dyDescent="0.2">
      <c r="A201" t="s">
        <v>6</v>
      </c>
      <c r="B201">
        <v>2901.4080168336</v>
      </c>
      <c r="C201">
        <v>582226.6</v>
      </c>
      <c r="D201">
        <v>3.3912873859882402</v>
      </c>
      <c r="E201">
        <v>9</v>
      </c>
      <c r="F201" t="s">
        <v>19</v>
      </c>
    </row>
    <row r="202" spans="1:6" x14ac:dyDescent="0.2">
      <c r="A202" t="s">
        <v>9</v>
      </c>
      <c r="B202">
        <v>3206.4375083832401</v>
      </c>
      <c r="C202">
        <v>680919.39</v>
      </c>
      <c r="D202">
        <v>4.1683786526997899</v>
      </c>
      <c r="E202">
        <v>9</v>
      </c>
      <c r="F202" t="s">
        <v>19</v>
      </c>
    </row>
    <row r="203" spans="1:6" x14ac:dyDescent="0.2">
      <c r="A203" t="s">
        <v>10</v>
      </c>
      <c r="B203">
        <v>3512.4699505348299</v>
      </c>
      <c r="C203">
        <v>754024.32</v>
      </c>
      <c r="D203">
        <v>5.3975297287782</v>
      </c>
      <c r="E203">
        <v>9</v>
      </c>
      <c r="F203" t="s">
        <v>19</v>
      </c>
    </row>
    <row r="204" spans="1:6" x14ac:dyDescent="0.2">
      <c r="A204" t="s">
        <v>9</v>
      </c>
      <c r="B204">
        <v>3857.52308121632</v>
      </c>
      <c r="C204">
        <v>1254483.08</v>
      </c>
      <c r="D204">
        <v>5.6686851596514396</v>
      </c>
      <c r="E204">
        <v>9</v>
      </c>
      <c r="F204" t="s">
        <v>19</v>
      </c>
    </row>
    <row r="205" spans="1:6" x14ac:dyDescent="0.2">
      <c r="A205" t="s">
        <v>8</v>
      </c>
      <c r="B205">
        <v>4163.5511811967199</v>
      </c>
      <c r="C205">
        <v>548275.04</v>
      </c>
      <c r="D205">
        <v>6.2698493615468296</v>
      </c>
      <c r="E205">
        <v>9</v>
      </c>
      <c r="F205" t="s">
        <v>19</v>
      </c>
    </row>
    <row r="206" spans="1:6" x14ac:dyDescent="0.2">
      <c r="A206" t="s">
        <v>10</v>
      </c>
      <c r="B206">
        <v>4492.6028116657999</v>
      </c>
      <c r="C206">
        <v>1438024.61</v>
      </c>
      <c r="D206">
        <v>7.0203313028494501</v>
      </c>
      <c r="E206">
        <v>9</v>
      </c>
      <c r="F206" t="s">
        <v>19</v>
      </c>
    </row>
    <row r="207" spans="1:6" x14ac:dyDescent="0.2">
      <c r="A207" t="s">
        <v>6</v>
      </c>
      <c r="B207">
        <v>4837.6590715584498</v>
      </c>
      <c r="C207">
        <v>757960.39</v>
      </c>
      <c r="D207">
        <v>7.4093134279727897</v>
      </c>
      <c r="E207">
        <v>9</v>
      </c>
      <c r="F207" t="s">
        <v>19</v>
      </c>
    </row>
    <row r="208" spans="1:6" x14ac:dyDescent="0.2">
      <c r="A208" t="s">
        <v>8</v>
      </c>
      <c r="B208">
        <v>5142.6732346917597</v>
      </c>
      <c r="C208">
        <v>664941.75</v>
      </c>
      <c r="D208">
        <v>7.6490736877600298</v>
      </c>
      <c r="E208">
        <v>9</v>
      </c>
      <c r="F208" t="s">
        <v>19</v>
      </c>
    </row>
    <row r="209" spans="1:6" x14ac:dyDescent="0.2">
      <c r="A209" t="s">
        <v>11</v>
      </c>
      <c r="B209">
        <v>5471.7319739418599</v>
      </c>
      <c r="C209">
        <v>1590080.88</v>
      </c>
      <c r="D209">
        <v>8.2827520942370096</v>
      </c>
      <c r="E209">
        <v>9</v>
      </c>
      <c r="F209" t="s">
        <v>19</v>
      </c>
    </row>
    <row r="210" spans="1:6" x14ac:dyDescent="0.2">
      <c r="A210" t="s">
        <v>6</v>
      </c>
      <c r="B210">
        <v>5776.7624154072</v>
      </c>
      <c r="C210">
        <v>652714.79</v>
      </c>
      <c r="D210">
        <v>8.4276596522013296</v>
      </c>
      <c r="E210">
        <v>9</v>
      </c>
      <c r="F210" t="s">
        <v>19</v>
      </c>
    </row>
    <row r="211" spans="1:6" x14ac:dyDescent="0.2">
      <c r="A211" t="s">
        <v>6</v>
      </c>
      <c r="B211">
        <v>6081.8053924411397</v>
      </c>
      <c r="C211">
        <v>148505.29</v>
      </c>
      <c r="D211">
        <v>8.5816215947945906</v>
      </c>
      <c r="E211">
        <v>9</v>
      </c>
      <c r="F211" t="s">
        <v>19</v>
      </c>
    </row>
    <row r="212" spans="1:6" x14ac:dyDescent="0.2">
      <c r="A212" t="s">
        <v>9</v>
      </c>
      <c r="B212">
        <v>6387.8316418771801</v>
      </c>
      <c r="C212">
        <v>219517.01</v>
      </c>
      <c r="D212">
        <v>8.9078380798975605</v>
      </c>
      <c r="E212">
        <v>9</v>
      </c>
      <c r="F212" t="s">
        <v>19</v>
      </c>
    </row>
    <row r="213" spans="1:6" x14ac:dyDescent="0.2">
      <c r="A213" t="s">
        <v>9</v>
      </c>
      <c r="B213">
        <v>6693.8533475744898</v>
      </c>
      <c r="C213">
        <v>247054.9</v>
      </c>
      <c r="D213">
        <v>9.1525961355050391</v>
      </c>
      <c r="E213">
        <v>9</v>
      </c>
      <c r="F213" t="s">
        <v>19</v>
      </c>
    </row>
    <row r="214" spans="1:6" x14ac:dyDescent="0.2">
      <c r="A214" t="s">
        <v>6</v>
      </c>
      <c r="B214">
        <v>6998.8817349165201</v>
      </c>
      <c r="C214">
        <v>114855.25</v>
      </c>
      <c r="D214">
        <v>9.3293358858108508</v>
      </c>
      <c r="E214">
        <v>9</v>
      </c>
      <c r="F214" t="s">
        <v>19</v>
      </c>
    </row>
    <row r="215" spans="1:6" x14ac:dyDescent="0.2">
      <c r="A215" t="s">
        <v>10</v>
      </c>
      <c r="B215">
        <v>7343.9385835958001</v>
      </c>
      <c r="C215">
        <v>54339.38</v>
      </c>
      <c r="D215">
        <v>9.4516992524941799</v>
      </c>
      <c r="E215">
        <v>9</v>
      </c>
      <c r="F215" t="s">
        <v>19</v>
      </c>
    </row>
    <row r="216" spans="1:6" x14ac:dyDescent="0.2">
      <c r="A216" t="s">
        <v>6</v>
      </c>
      <c r="B216">
        <v>1270.1561698815101</v>
      </c>
      <c r="C216">
        <v>201185.76</v>
      </c>
      <c r="D216">
        <v>0.80731301066080696</v>
      </c>
      <c r="E216">
        <v>10</v>
      </c>
      <c r="F216" t="s">
        <v>20</v>
      </c>
    </row>
    <row r="217" spans="1:6" x14ac:dyDescent="0.2">
      <c r="A217" t="s">
        <v>10</v>
      </c>
      <c r="B217">
        <v>1575.20117655781</v>
      </c>
      <c r="C217">
        <v>156151.31</v>
      </c>
      <c r="D217">
        <v>0.80731301066080696</v>
      </c>
      <c r="E217">
        <v>10</v>
      </c>
      <c r="F217" t="s">
        <v>20</v>
      </c>
    </row>
    <row r="218" spans="1:6" x14ac:dyDescent="0.2">
      <c r="A218" t="s">
        <v>10</v>
      </c>
      <c r="B218">
        <v>1920.24518889452</v>
      </c>
      <c r="C218">
        <v>389222.51</v>
      </c>
      <c r="D218">
        <v>0.96089091854095499</v>
      </c>
      <c r="E218">
        <v>10</v>
      </c>
      <c r="F218" t="s">
        <v>20</v>
      </c>
    </row>
    <row r="219" spans="1:6" x14ac:dyDescent="0.2">
      <c r="A219" t="s">
        <v>6</v>
      </c>
      <c r="B219">
        <v>2265.29915105191</v>
      </c>
      <c r="C219">
        <v>515877.26</v>
      </c>
      <c r="D219">
        <v>0.96089091854095499</v>
      </c>
      <c r="E219">
        <v>10</v>
      </c>
      <c r="F219" t="s">
        <v>20</v>
      </c>
    </row>
    <row r="220" spans="1:6" x14ac:dyDescent="0.2">
      <c r="A220" t="s">
        <v>8</v>
      </c>
      <c r="B220">
        <v>2570.3411059891901</v>
      </c>
      <c r="C220">
        <v>874948.49</v>
      </c>
      <c r="D220">
        <v>1.10996682004929</v>
      </c>
      <c r="E220">
        <v>10</v>
      </c>
      <c r="F220" t="s">
        <v>20</v>
      </c>
    </row>
    <row r="221" spans="1:6" x14ac:dyDescent="0.2">
      <c r="A221" t="s">
        <v>9</v>
      </c>
      <c r="B221">
        <v>2899.3894923728099</v>
      </c>
      <c r="C221">
        <v>631202.54</v>
      </c>
      <c r="D221">
        <v>2.3703532870292698</v>
      </c>
      <c r="E221">
        <v>10</v>
      </c>
      <c r="F221" t="s">
        <v>20</v>
      </c>
    </row>
    <row r="222" spans="1:6" x14ac:dyDescent="0.2">
      <c r="A222" t="s">
        <v>9</v>
      </c>
      <c r="B222">
        <v>3205.4197466765399</v>
      </c>
      <c r="C222">
        <v>524654.41</v>
      </c>
      <c r="D222">
        <v>3.5990953103383401</v>
      </c>
      <c r="E222">
        <v>10</v>
      </c>
      <c r="F222" t="s">
        <v>20</v>
      </c>
    </row>
    <row r="223" spans="1:6" x14ac:dyDescent="0.2">
      <c r="A223" t="s">
        <v>9</v>
      </c>
      <c r="B223">
        <v>3511.4494874008101</v>
      </c>
      <c r="C223">
        <v>308636.18</v>
      </c>
      <c r="D223">
        <v>4.5027640199343404</v>
      </c>
      <c r="E223">
        <v>10</v>
      </c>
      <c r="F223" t="s">
        <v>20</v>
      </c>
    </row>
    <row r="224" spans="1:6" x14ac:dyDescent="0.2">
      <c r="A224" t="s">
        <v>10</v>
      </c>
      <c r="B224">
        <v>3817.4977457662999</v>
      </c>
      <c r="C224">
        <v>460568.27</v>
      </c>
      <c r="D224">
        <v>5.4291594202995297</v>
      </c>
      <c r="E224">
        <v>10</v>
      </c>
      <c r="F224" t="s">
        <v>20</v>
      </c>
    </row>
    <row r="225" spans="1:6" x14ac:dyDescent="0.2">
      <c r="A225" t="s">
        <v>9</v>
      </c>
      <c r="B225">
        <v>4162.5524253199401</v>
      </c>
      <c r="C225">
        <v>634924.16</v>
      </c>
      <c r="D225">
        <v>6.0890235439618401</v>
      </c>
      <c r="E225">
        <v>10</v>
      </c>
      <c r="F225" t="s">
        <v>20</v>
      </c>
    </row>
    <row r="226" spans="1:6" x14ac:dyDescent="0.2">
      <c r="A226" t="s">
        <v>8</v>
      </c>
      <c r="B226">
        <v>4468.59128987028</v>
      </c>
      <c r="C226">
        <v>752940.61</v>
      </c>
      <c r="D226">
        <v>6.59985890345573</v>
      </c>
      <c r="E226">
        <v>10</v>
      </c>
      <c r="F226" t="s">
        <v>20</v>
      </c>
    </row>
    <row r="227" spans="1:6" x14ac:dyDescent="0.2">
      <c r="A227" t="s">
        <v>9</v>
      </c>
      <c r="B227">
        <v>4797.6365144841302</v>
      </c>
      <c r="C227">
        <v>659811.18999999994</v>
      </c>
      <c r="D227">
        <v>7.2871672606150302</v>
      </c>
      <c r="E227">
        <v>10</v>
      </c>
      <c r="F227" t="s">
        <v>20</v>
      </c>
    </row>
    <row r="228" spans="1:6" x14ac:dyDescent="0.2">
      <c r="A228" t="s">
        <v>11</v>
      </c>
      <c r="B228">
        <v>5103.6730828015898</v>
      </c>
      <c r="C228">
        <v>1584685.42</v>
      </c>
      <c r="D228">
        <v>7.8572145278930696</v>
      </c>
      <c r="E228">
        <v>10</v>
      </c>
      <c r="F228" t="s">
        <v>20</v>
      </c>
    </row>
    <row r="229" spans="1:6" x14ac:dyDescent="0.2">
      <c r="A229" t="s">
        <v>8</v>
      </c>
      <c r="B229">
        <v>5432.7318481867196</v>
      </c>
      <c r="C229">
        <v>1232948.3</v>
      </c>
      <c r="D229">
        <v>8.3733119284788806</v>
      </c>
      <c r="E229">
        <v>10</v>
      </c>
      <c r="F229" t="s">
        <v>20</v>
      </c>
    </row>
    <row r="230" spans="1:6" x14ac:dyDescent="0.2">
      <c r="A230" t="s">
        <v>6</v>
      </c>
      <c r="B230">
        <v>5737.7524012976401</v>
      </c>
      <c r="C230">
        <v>808101.62</v>
      </c>
      <c r="D230">
        <v>8.5182196116129596</v>
      </c>
      <c r="E230">
        <v>10</v>
      </c>
      <c r="F230" t="s">
        <v>20</v>
      </c>
    </row>
    <row r="231" spans="1:6" x14ac:dyDescent="0.2">
      <c r="A231" t="s">
        <v>6</v>
      </c>
      <c r="B231">
        <v>6042.78315044191</v>
      </c>
      <c r="C231">
        <v>57529.24</v>
      </c>
      <c r="D231">
        <v>8.49104876872698</v>
      </c>
      <c r="E231">
        <v>10</v>
      </c>
      <c r="F231" t="s">
        <v>20</v>
      </c>
    </row>
    <row r="232" spans="1:6" x14ac:dyDescent="0.2">
      <c r="A232" t="s">
        <v>9</v>
      </c>
      <c r="B232">
        <v>6348.8229867677001</v>
      </c>
      <c r="C232">
        <v>187655.6</v>
      </c>
      <c r="D232">
        <v>8.8534415856679303</v>
      </c>
      <c r="E232">
        <v>10</v>
      </c>
      <c r="F232" t="s">
        <v>20</v>
      </c>
    </row>
    <row r="233" spans="1:6" x14ac:dyDescent="0.2">
      <c r="A233" t="s">
        <v>9</v>
      </c>
      <c r="B233">
        <v>6654.8510712654997</v>
      </c>
      <c r="C233">
        <v>167518.35</v>
      </c>
      <c r="D233">
        <v>9.1208622272491393</v>
      </c>
      <c r="E233">
        <v>10</v>
      </c>
      <c r="F233" t="s">
        <v>20</v>
      </c>
    </row>
    <row r="234" spans="1:6" x14ac:dyDescent="0.2">
      <c r="A234" t="s">
        <v>9</v>
      </c>
      <c r="B234">
        <v>1350.21596534737</v>
      </c>
      <c r="C234">
        <v>380521.21</v>
      </c>
      <c r="D234">
        <v>0.83893310186068204</v>
      </c>
      <c r="E234">
        <v>11</v>
      </c>
      <c r="F234" t="s">
        <v>21</v>
      </c>
    </row>
    <row r="235" spans="1:6" x14ac:dyDescent="0.2">
      <c r="A235" t="s">
        <v>10</v>
      </c>
      <c r="B235">
        <v>1656.24330978226</v>
      </c>
      <c r="C235">
        <v>381854.38</v>
      </c>
      <c r="D235">
        <v>0.92926780339876802</v>
      </c>
      <c r="E235">
        <v>11</v>
      </c>
      <c r="F235" t="s">
        <v>21</v>
      </c>
    </row>
    <row r="236" spans="1:6" x14ac:dyDescent="0.2">
      <c r="A236" t="s">
        <v>6</v>
      </c>
      <c r="B236">
        <v>2001.29471127133</v>
      </c>
      <c r="C236">
        <v>469818.91</v>
      </c>
      <c r="D236">
        <v>1.0512361283779099</v>
      </c>
      <c r="E236">
        <v>11</v>
      </c>
      <c r="F236" t="s">
        <v>21</v>
      </c>
    </row>
    <row r="237" spans="1:6" x14ac:dyDescent="0.2">
      <c r="A237" t="s">
        <v>8</v>
      </c>
      <c r="B237">
        <v>2306.3354797053898</v>
      </c>
      <c r="C237">
        <v>985229.19</v>
      </c>
      <c r="D237">
        <v>1.1686931864102701</v>
      </c>
      <c r="E237">
        <v>11</v>
      </c>
      <c r="F237" t="s">
        <v>21</v>
      </c>
    </row>
    <row r="238" spans="1:6" x14ac:dyDescent="0.2">
      <c r="A238" t="s">
        <v>10</v>
      </c>
      <c r="B238">
        <v>2635.3898874716501</v>
      </c>
      <c r="C238">
        <v>957638.39</v>
      </c>
      <c r="D238">
        <v>2.7904798205375698</v>
      </c>
      <c r="E238">
        <v>11</v>
      </c>
      <c r="F238" t="s">
        <v>21</v>
      </c>
    </row>
    <row r="239" spans="1:6" x14ac:dyDescent="0.2">
      <c r="A239" t="s">
        <v>9</v>
      </c>
      <c r="B239">
        <v>2980.4405191382002</v>
      </c>
      <c r="C239">
        <v>616175.31000000006</v>
      </c>
      <c r="D239">
        <v>3.9289245879332202</v>
      </c>
      <c r="E239">
        <v>11</v>
      </c>
      <c r="F239" t="s">
        <v>21</v>
      </c>
    </row>
    <row r="240" spans="1:6" x14ac:dyDescent="0.2">
      <c r="A240" t="s">
        <v>6</v>
      </c>
      <c r="B240">
        <v>3286.4679979921698</v>
      </c>
      <c r="C240">
        <v>1369242.86</v>
      </c>
      <c r="D240">
        <v>4.9501272952238704</v>
      </c>
      <c r="E240">
        <v>11</v>
      </c>
      <c r="F240" t="s">
        <v>21</v>
      </c>
    </row>
    <row r="241" spans="1:6" x14ac:dyDescent="0.2">
      <c r="A241" t="s">
        <v>10</v>
      </c>
      <c r="B241">
        <v>3591.50561305157</v>
      </c>
      <c r="C241">
        <v>1115668.08</v>
      </c>
      <c r="D241">
        <v>5.1308935439268701</v>
      </c>
      <c r="E241">
        <v>11</v>
      </c>
      <c r="F241" t="s">
        <v>21</v>
      </c>
    </row>
    <row r="242" spans="1:6" x14ac:dyDescent="0.2">
      <c r="A242" t="s">
        <v>9</v>
      </c>
      <c r="B242">
        <v>3936.55722733125</v>
      </c>
      <c r="C242">
        <v>1309925.8799999999</v>
      </c>
      <c r="D242">
        <v>5.7590797618706997</v>
      </c>
      <c r="E242">
        <v>11</v>
      </c>
      <c r="F242" t="s">
        <v>21</v>
      </c>
    </row>
    <row r="243" spans="1:6" x14ac:dyDescent="0.2">
      <c r="A243" t="s">
        <v>10</v>
      </c>
      <c r="B243">
        <v>4242.5891561591498</v>
      </c>
      <c r="C243">
        <v>937661.03</v>
      </c>
      <c r="D243">
        <v>6.3602637445608803</v>
      </c>
      <c r="E243">
        <v>11</v>
      </c>
      <c r="F243" t="s">
        <v>21</v>
      </c>
    </row>
    <row r="244" spans="1:6" x14ac:dyDescent="0.2">
      <c r="A244" t="s">
        <v>11</v>
      </c>
      <c r="B244">
        <v>4587.6394933793099</v>
      </c>
      <c r="C244">
        <v>1510555.48</v>
      </c>
      <c r="D244">
        <v>6.8982393697579703</v>
      </c>
      <c r="E244">
        <v>11</v>
      </c>
      <c r="F244" t="s">
        <v>21</v>
      </c>
    </row>
    <row r="245" spans="1:6" x14ac:dyDescent="0.2">
      <c r="A245" t="s">
        <v>8</v>
      </c>
      <c r="B245">
        <v>4916.6917018061704</v>
      </c>
      <c r="C245">
        <v>1274032.26</v>
      </c>
      <c r="D245">
        <v>7.5586016451994604</v>
      </c>
      <c r="E245">
        <v>11</v>
      </c>
      <c r="F245" t="s">
        <v>21</v>
      </c>
    </row>
    <row r="246" spans="1:6" x14ac:dyDescent="0.2">
      <c r="A246" t="s">
        <v>10</v>
      </c>
      <c r="B246">
        <v>5261.7501965144902</v>
      </c>
      <c r="C246">
        <v>921277.07</v>
      </c>
      <c r="D246">
        <v>7.97942051049868</v>
      </c>
      <c r="E246">
        <v>11</v>
      </c>
      <c r="F246" t="s">
        <v>21</v>
      </c>
    </row>
    <row r="247" spans="1:6" x14ac:dyDescent="0.2">
      <c r="A247" t="s">
        <v>6</v>
      </c>
      <c r="B247">
        <v>5566.7884602311296</v>
      </c>
      <c r="C247">
        <v>907975.14</v>
      </c>
      <c r="D247">
        <v>8.2193639949639596</v>
      </c>
      <c r="E247">
        <v>11</v>
      </c>
      <c r="F247" t="s">
        <v>21</v>
      </c>
    </row>
    <row r="248" spans="1:6" x14ac:dyDescent="0.2">
      <c r="A248" t="s">
        <v>8</v>
      </c>
      <c r="B248">
        <v>5895.8388106356497</v>
      </c>
      <c r="C248">
        <v>580333.5</v>
      </c>
      <c r="D248">
        <v>8.6993728454589796</v>
      </c>
      <c r="E248">
        <v>11</v>
      </c>
      <c r="F248" t="s">
        <v>21</v>
      </c>
    </row>
    <row r="249" spans="1:6" x14ac:dyDescent="0.2">
      <c r="A249" t="s">
        <v>8</v>
      </c>
      <c r="B249">
        <v>6224.8895347738799</v>
      </c>
      <c r="C249">
        <v>179063.21</v>
      </c>
      <c r="D249">
        <v>9.20696947929064</v>
      </c>
      <c r="E249">
        <v>11</v>
      </c>
      <c r="F249" t="s">
        <v>21</v>
      </c>
    </row>
    <row r="250" spans="1:6" x14ac:dyDescent="0.2">
      <c r="A250" t="s">
        <v>9</v>
      </c>
      <c r="B250">
        <v>6530.9302292183802</v>
      </c>
      <c r="C250">
        <v>346573.32</v>
      </c>
      <c r="D250">
        <v>9.4788820937951392</v>
      </c>
      <c r="E250">
        <v>11</v>
      </c>
      <c r="F250" t="s">
        <v>21</v>
      </c>
    </row>
    <row r="251" spans="1:6" x14ac:dyDescent="0.2">
      <c r="A251" t="s">
        <v>10</v>
      </c>
      <c r="B251">
        <v>6875.95307764476</v>
      </c>
      <c r="C251">
        <v>373992.68</v>
      </c>
      <c r="D251">
        <v>9.6601674453099609</v>
      </c>
      <c r="E251">
        <v>11</v>
      </c>
      <c r="F251" t="s">
        <v>21</v>
      </c>
    </row>
    <row r="252" spans="1:6" x14ac:dyDescent="0.2">
      <c r="A252" t="s">
        <v>9</v>
      </c>
      <c r="B252">
        <v>7181.9926795562696</v>
      </c>
      <c r="C252">
        <v>313001.18</v>
      </c>
      <c r="D252">
        <v>9.9594076609293598</v>
      </c>
      <c r="E252">
        <v>11</v>
      </c>
      <c r="F252" t="s">
        <v>21</v>
      </c>
    </row>
    <row r="253" spans="1:6" x14ac:dyDescent="0.2">
      <c r="A253" t="s">
        <v>10</v>
      </c>
      <c r="B253">
        <v>7527.0308348708204</v>
      </c>
      <c r="C253">
        <v>337700.69</v>
      </c>
      <c r="D253">
        <v>10.1407615458647</v>
      </c>
      <c r="E253">
        <v>11</v>
      </c>
      <c r="F253" t="s">
        <v>21</v>
      </c>
    </row>
    <row r="254" spans="1:6" x14ac:dyDescent="0.2">
      <c r="A254" t="s">
        <v>6</v>
      </c>
      <c r="B254">
        <v>7832.0673665121503</v>
      </c>
      <c r="C254">
        <v>434826.21</v>
      </c>
      <c r="D254">
        <v>10.231469952631</v>
      </c>
      <c r="E254">
        <v>11</v>
      </c>
      <c r="F254" t="s">
        <v>21</v>
      </c>
    </row>
    <row r="255" spans="1:6" x14ac:dyDescent="0.2">
      <c r="A255" t="s">
        <v>9</v>
      </c>
      <c r="B255">
        <v>8138.0814058839796</v>
      </c>
      <c r="C255">
        <v>327883.21000000002</v>
      </c>
      <c r="D255">
        <v>10.4129120862166</v>
      </c>
      <c r="E255">
        <v>11</v>
      </c>
      <c r="F255" t="s">
        <v>21</v>
      </c>
    </row>
    <row r="256" spans="1:6" x14ac:dyDescent="0.2">
      <c r="A256" t="s">
        <v>10</v>
      </c>
      <c r="B256">
        <v>8483.1433509404396</v>
      </c>
      <c r="C256">
        <v>227252.67</v>
      </c>
      <c r="D256">
        <v>10.6215575611273</v>
      </c>
      <c r="E256">
        <v>11</v>
      </c>
      <c r="F256" t="s">
        <v>21</v>
      </c>
    </row>
    <row r="257" spans="1:6" x14ac:dyDescent="0.2">
      <c r="A257" t="s">
        <v>8</v>
      </c>
      <c r="B257">
        <v>8812.1786780198709</v>
      </c>
      <c r="C257">
        <v>153627.09</v>
      </c>
      <c r="D257">
        <v>10.948215168285399</v>
      </c>
      <c r="E257">
        <v>11</v>
      </c>
      <c r="F257" t="s">
        <v>21</v>
      </c>
    </row>
    <row r="258" spans="1:6" x14ac:dyDescent="0.2">
      <c r="A258" t="s">
        <v>6</v>
      </c>
      <c r="B258">
        <v>9117.2147629236206</v>
      </c>
      <c r="C258">
        <v>208420.69</v>
      </c>
      <c r="D258">
        <v>11.038978453048101</v>
      </c>
      <c r="E258">
        <v>11</v>
      </c>
      <c r="F258" t="s">
        <v>21</v>
      </c>
    </row>
    <row r="259" spans="1:6" x14ac:dyDescent="0.2">
      <c r="A259" t="s">
        <v>10</v>
      </c>
      <c r="B259">
        <v>9462.2584461745992</v>
      </c>
      <c r="C259">
        <v>105912.92</v>
      </c>
      <c r="D259">
        <v>11.129719878800699</v>
      </c>
      <c r="E259">
        <v>11</v>
      </c>
      <c r="F259" t="s">
        <v>21</v>
      </c>
    </row>
    <row r="260" spans="1:6" x14ac:dyDescent="0.2">
      <c r="A260" t="s">
        <v>8</v>
      </c>
      <c r="B260">
        <v>9791.3072354798405</v>
      </c>
      <c r="C260">
        <v>47755.96</v>
      </c>
      <c r="D260">
        <v>11.4291141863346</v>
      </c>
      <c r="E260">
        <v>11</v>
      </c>
      <c r="F260" t="s">
        <v>21</v>
      </c>
    </row>
    <row r="261" spans="1:6" x14ac:dyDescent="0.2">
      <c r="A261" t="s">
        <v>10</v>
      </c>
      <c r="B261">
        <v>10136.3652995065</v>
      </c>
      <c r="C261">
        <v>77986.58</v>
      </c>
      <c r="D261">
        <v>11.519863094457</v>
      </c>
      <c r="E261">
        <v>11</v>
      </c>
      <c r="F261" t="s">
        <v>21</v>
      </c>
    </row>
    <row r="262" spans="1:6" x14ac:dyDescent="0.2">
      <c r="A262" t="s">
        <v>8</v>
      </c>
      <c r="B262">
        <v>10465.382219835101</v>
      </c>
      <c r="C262">
        <v>17624.68</v>
      </c>
      <c r="D262">
        <v>11.728699936040201</v>
      </c>
      <c r="E262">
        <v>11</v>
      </c>
      <c r="F262" t="s">
        <v>21</v>
      </c>
    </row>
    <row r="263" spans="1:6" x14ac:dyDescent="0.2">
      <c r="A263" t="s">
        <v>8</v>
      </c>
      <c r="B263">
        <v>10794.472066821299</v>
      </c>
      <c r="C263">
        <v>31867.85</v>
      </c>
      <c r="D263">
        <v>11.9375988936106</v>
      </c>
      <c r="E263">
        <v>11</v>
      </c>
      <c r="F263" t="s">
        <v>21</v>
      </c>
    </row>
    <row r="264" spans="1:6" x14ac:dyDescent="0.2">
      <c r="A264" t="s">
        <v>9</v>
      </c>
      <c r="B264">
        <v>3819.4844352893801</v>
      </c>
      <c r="C264">
        <v>624330.47</v>
      </c>
      <c r="D264">
        <v>6.32862172878583</v>
      </c>
      <c r="E264">
        <v>12</v>
      </c>
      <c r="F264" t="s">
        <v>22</v>
      </c>
    </row>
    <row r="265" spans="1:6" x14ac:dyDescent="0.2">
      <c r="A265" t="s">
        <v>10</v>
      </c>
      <c r="B265">
        <v>4125.51589678457</v>
      </c>
      <c r="C265">
        <v>264818.92</v>
      </c>
      <c r="D265">
        <v>6.78068572041194</v>
      </c>
      <c r="E265">
        <v>12</v>
      </c>
      <c r="F265" t="s">
        <v>22</v>
      </c>
    </row>
    <row r="266" spans="1:6" x14ac:dyDescent="0.2">
      <c r="A266" t="s">
        <v>6</v>
      </c>
      <c r="B266">
        <v>4470.5670098542996</v>
      </c>
      <c r="C266">
        <v>970478.36</v>
      </c>
      <c r="D266">
        <v>7.1967074032306702</v>
      </c>
      <c r="E266">
        <v>12</v>
      </c>
      <c r="F266" t="s">
        <v>22</v>
      </c>
    </row>
    <row r="267" spans="1:6" x14ac:dyDescent="0.2">
      <c r="A267" t="s">
        <v>8</v>
      </c>
      <c r="B267">
        <v>4775.6125601486801</v>
      </c>
      <c r="C267">
        <v>639993.81000000006</v>
      </c>
      <c r="D267">
        <v>7.5902651703039803</v>
      </c>
      <c r="E267">
        <v>12</v>
      </c>
      <c r="F267" t="s">
        <v>22</v>
      </c>
    </row>
    <row r="268" spans="1:6" x14ac:dyDescent="0.2">
      <c r="A268" t="s">
        <v>10</v>
      </c>
      <c r="B268">
        <v>5104.67167892216</v>
      </c>
      <c r="C268">
        <v>888367.02</v>
      </c>
      <c r="D268">
        <v>8.0111072178363791</v>
      </c>
      <c r="E268">
        <v>12</v>
      </c>
      <c r="F268" t="s">
        <v>22</v>
      </c>
    </row>
    <row r="269" spans="1:6" x14ac:dyDescent="0.2">
      <c r="A269" t="s">
        <v>11</v>
      </c>
      <c r="B269">
        <v>5449.7178673860399</v>
      </c>
      <c r="C269">
        <v>1444812.44</v>
      </c>
      <c r="D269">
        <v>8.2827520942370096</v>
      </c>
      <c r="E269">
        <v>12</v>
      </c>
      <c r="F269" t="s">
        <v>22</v>
      </c>
    </row>
    <row r="270" spans="1:6" x14ac:dyDescent="0.2">
      <c r="A270" t="s">
        <v>10</v>
      </c>
      <c r="B270">
        <v>5794.7715085060099</v>
      </c>
      <c r="C270">
        <v>936985.35</v>
      </c>
      <c r="D270">
        <v>8.6721980766137392</v>
      </c>
      <c r="E270">
        <v>12</v>
      </c>
      <c r="F270" t="s">
        <v>22</v>
      </c>
    </row>
    <row r="271" spans="1:6" x14ac:dyDescent="0.2">
      <c r="A271" t="s">
        <v>8</v>
      </c>
      <c r="B271">
        <v>6123.8330147407096</v>
      </c>
      <c r="C271">
        <v>374582.15</v>
      </c>
      <c r="D271">
        <v>9.0891361212412498</v>
      </c>
      <c r="E271">
        <v>12</v>
      </c>
      <c r="F271" t="s">
        <v>22</v>
      </c>
    </row>
    <row r="272" spans="1:6" x14ac:dyDescent="0.2">
      <c r="A272" t="s">
        <v>8</v>
      </c>
      <c r="B272">
        <v>6452.8801314593902</v>
      </c>
      <c r="C272">
        <v>345760.6</v>
      </c>
      <c r="D272">
        <v>9.5106034612337709</v>
      </c>
      <c r="E272">
        <v>12</v>
      </c>
      <c r="F272" t="s">
        <v>22</v>
      </c>
    </row>
    <row r="273" spans="1:6" x14ac:dyDescent="0.2">
      <c r="A273" t="s">
        <v>6</v>
      </c>
      <c r="B273">
        <v>6757.92002748086</v>
      </c>
      <c r="C273">
        <v>216383.16</v>
      </c>
      <c r="D273">
        <v>9.6329748367945296</v>
      </c>
      <c r="E273">
        <v>12</v>
      </c>
      <c r="F273" t="s">
        <v>22</v>
      </c>
    </row>
    <row r="274" spans="1:6" x14ac:dyDescent="0.2">
      <c r="A274" t="s">
        <v>9</v>
      </c>
      <c r="B274">
        <v>7063.9381926039196</v>
      </c>
      <c r="C274">
        <v>195345.47</v>
      </c>
      <c r="D274">
        <v>9.9322059944947494</v>
      </c>
      <c r="E274">
        <v>12</v>
      </c>
      <c r="F274" t="s">
        <v>22</v>
      </c>
    </row>
    <row r="275" spans="1:6" x14ac:dyDescent="0.2">
      <c r="A275" t="s">
        <v>10</v>
      </c>
      <c r="B275">
        <v>1334.2212848020399</v>
      </c>
      <c r="C275">
        <v>316411.02</v>
      </c>
      <c r="D275">
        <v>0.89764954404830899</v>
      </c>
      <c r="E275">
        <v>13</v>
      </c>
      <c r="F275" t="s">
        <v>23</v>
      </c>
    </row>
    <row r="276" spans="1:6" x14ac:dyDescent="0.2">
      <c r="A276" t="s">
        <v>9</v>
      </c>
      <c r="B276">
        <v>1679.2684260025301</v>
      </c>
      <c r="C276">
        <v>136107.07999999999</v>
      </c>
      <c r="D276">
        <v>0.98799588637351998</v>
      </c>
      <c r="E276">
        <v>13</v>
      </c>
      <c r="F276" t="s">
        <v>23</v>
      </c>
    </row>
    <row r="277" spans="1:6" x14ac:dyDescent="0.2">
      <c r="A277" t="s">
        <v>8</v>
      </c>
      <c r="B277">
        <v>1985.2981879423701</v>
      </c>
      <c r="C277">
        <v>364123.16</v>
      </c>
      <c r="D277">
        <v>1.1686931864102701</v>
      </c>
      <c r="E277">
        <v>13</v>
      </c>
      <c r="F277" t="s">
        <v>23</v>
      </c>
    </row>
    <row r="278" spans="1:6" x14ac:dyDescent="0.2">
      <c r="A278" t="s">
        <v>9</v>
      </c>
      <c r="B278">
        <v>2314.3504238800101</v>
      </c>
      <c r="C278">
        <v>128214.42</v>
      </c>
      <c r="D278">
        <v>2.4607023771285998</v>
      </c>
      <c r="E278">
        <v>13</v>
      </c>
      <c r="F278" t="s">
        <v>23</v>
      </c>
    </row>
    <row r="279" spans="1:6" x14ac:dyDescent="0.2">
      <c r="A279" t="s">
        <v>6</v>
      </c>
      <c r="B279">
        <v>2620.3789518436001</v>
      </c>
      <c r="C279">
        <v>439974.14</v>
      </c>
      <c r="D279">
        <v>3.5087410445690201</v>
      </c>
      <c r="E279">
        <v>13</v>
      </c>
      <c r="F279" t="s">
        <v>23</v>
      </c>
    </row>
    <row r="280" spans="1:6" x14ac:dyDescent="0.2">
      <c r="A280" t="s">
        <v>10</v>
      </c>
      <c r="B280">
        <v>2925.420883454</v>
      </c>
      <c r="C280">
        <v>760263</v>
      </c>
      <c r="D280">
        <v>4.6790031865914701</v>
      </c>
      <c r="E280">
        <v>13</v>
      </c>
      <c r="F280" t="s">
        <v>23</v>
      </c>
    </row>
    <row r="281" spans="1:6" x14ac:dyDescent="0.2">
      <c r="A281" t="s">
        <v>11</v>
      </c>
      <c r="B281">
        <v>3270.4710740846599</v>
      </c>
      <c r="C281">
        <v>1440671.7</v>
      </c>
      <c r="D281">
        <v>5.2529161369482704</v>
      </c>
      <c r="E281">
        <v>13</v>
      </c>
      <c r="F281" t="s">
        <v>23</v>
      </c>
    </row>
    <row r="282" spans="1:6" x14ac:dyDescent="0.2">
      <c r="A282" t="s">
        <v>9</v>
      </c>
      <c r="B282">
        <v>3576.4987717990098</v>
      </c>
      <c r="C282">
        <v>1151835.55</v>
      </c>
      <c r="D282">
        <v>5.6099234874725301</v>
      </c>
      <c r="E282">
        <v>13</v>
      </c>
      <c r="F282" t="s">
        <v>23</v>
      </c>
    </row>
    <row r="283" spans="1:6" x14ac:dyDescent="0.2">
      <c r="A283" t="s">
        <v>10</v>
      </c>
      <c r="B283">
        <v>3921.5494264675799</v>
      </c>
      <c r="C283">
        <v>197739.6</v>
      </c>
      <c r="D283">
        <v>6.5727330104192099</v>
      </c>
      <c r="E283">
        <v>13</v>
      </c>
      <c r="F283" t="s">
        <v>23</v>
      </c>
    </row>
    <row r="284" spans="1:6" x14ac:dyDescent="0.2">
      <c r="A284" t="s">
        <v>6</v>
      </c>
      <c r="B284">
        <v>4226.5905385163896</v>
      </c>
      <c r="C284">
        <v>583079.57999999996</v>
      </c>
      <c r="D284">
        <v>6.59985890345573</v>
      </c>
      <c r="E284">
        <v>13</v>
      </c>
      <c r="F284" t="s">
        <v>23</v>
      </c>
    </row>
    <row r="285" spans="1:6" x14ac:dyDescent="0.2">
      <c r="A285" t="s">
        <v>6</v>
      </c>
      <c r="B285">
        <v>4531.6223338048803</v>
      </c>
      <c r="C285">
        <v>1217912.0900000001</v>
      </c>
      <c r="D285">
        <v>7.0519884542306297</v>
      </c>
      <c r="E285">
        <v>13</v>
      </c>
      <c r="F285" t="s">
        <v>23</v>
      </c>
    </row>
    <row r="286" spans="1:6" x14ac:dyDescent="0.2">
      <c r="A286" t="s">
        <v>10</v>
      </c>
      <c r="B286">
        <v>4876.6820805256502</v>
      </c>
      <c r="C286">
        <v>1134578.32</v>
      </c>
      <c r="D286">
        <v>7.4681177532355001</v>
      </c>
      <c r="E286">
        <v>13</v>
      </c>
      <c r="F286" t="s">
        <v>23</v>
      </c>
    </row>
    <row r="287" spans="1:6" x14ac:dyDescent="0.2">
      <c r="A287" t="s">
        <v>10</v>
      </c>
      <c r="B287">
        <v>5221.72130698198</v>
      </c>
      <c r="C287">
        <v>918000.58</v>
      </c>
      <c r="D287">
        <v>7.7667061543146803</v>
      </c>
      <c r="E287">
        <v>13</v>
      </c>
      <c r="F287" t="s">
        <v>23</v>
      </c>
    </row>
    <row r="288" spans="1:6" x14ac:dyDescent="0.2">
      <c r="A288" t="s">
        <v>6</v>
      </c>
      <c r="B288">
        <v>5526.7616711734199</v>
      </c>
      <c r="C288">
        <v>339557.5</v>
      </c>
      <c r="D288">
        <v>7.97942051049868</v>
      </c>
      <c r="E288">
        <v>13</v>
      </c>
      <c r="F288" t="s">
        <v>23</v>
      </c>
    </row>
    <row r="289" spans="1:6" x14ac:dyDescent="0.2">
      <c r="A289" t="s">
        <v>8</v>
      </c>
      <c r="B289">
        <v>5855.7815239434804</v>
      </c>
      <c r="C289">
        <v>434166.36</v>
      </c>
      <c r="D289">
        <v>8.5816215947945906</v>
      </c>
      <c r="E289">
        <v>13</v>
      </c>
      <c r="F289" t="s">
        <v>23</v>
      </c>
    </row>
    <row r="290" spans="1:6" x14ac:dyDescent="0.2">
      <c r="A290" t="s">
        <v>6</v>
      </c>
      <c r="B290">
        <v>6160.7980162884296</v>
      </c>
      <c r="C290">
        <v>57205.69</v>
      </c>
      <c r="D290">
        <v>8.6993728454589796</v>
      </c>
      <c r="E290">
        <v>13</v>
      </c>
      <c r="F290" t="s">
        <v>23</v>
      </c>
    </row>
    <row r="291" spans="1:6" x14ac:dyDescent="0.2">
      <c r="A291" t="s">
        <v>8</v>
      </c>
      <c r="B291">
        <v>6489.88664869279</v>
      </c>
      <c r="C291">
        <v>113725.07</v>
      </c>
      <c r="D291">
        <v>9.2704182362238594</v>
      </c>
      <c r="E291">
        <v>13</v>
      </c>
      <c r="F291" t="s">
        <v>23</v>
      </c>
    </row>
    <row r="292" spans="1:6" x14ac:dyDescent="0.2">
      <c r="A292" t="s">
        <v>9</v>
      </c>
      <c r="B292">
        <v>6795.9128018592401</v>
      </c>
      <c r="C292">
        <v>255484.63</v>
      </c>
      <c r="D292">
        <v>9.5695250208854699</v>
      </c>
      <c r="E292">
        <v>13</v>
      </c>
      <c r="F292" t="s">
        <v>23</v>
      </c>
    </row>
    <row r="293" spans="1:6" x14ac:dyDescent="0.2">
      <c r="A293" t="s">
        <v>6</v>
      </c>
      <c r="B293">
        <v>2033.2813311263899</v>
      </c>
      <c r="C293">
        <v>69712.800000000003</v>
      </c>
      <c r="D293">
        <v>0.87054953532218904</v>
      </c>
      <c r="E293">
        <v>14</v>
      </c>
      <c r="F293" t="s">
        <v>24</v>
      </c>
    </row>
    <row r="294" spans="1:6" x14ac:dyDescent="0.2">
      <c r="A294" t="s">
        <v>9</v>
      </c>
      <c r="B294">
        <v>2338.32208217789</v>
      </c>
      <c r="C294">
        <v>167976.67</v>
      </c>
      <c r="D294">
        <v>0.96089091854095499</v>
      </c>
      <c r="E294">
        <v>14</v>
      </c>
      <c r="F294" t="s">
        <v>24</v>
      </c>
    </row>
    <row r="295" spans="1:6" x14ac:dyDescent="0.2">
      <c r="A295" t="s">
        <v>8</v>
      </c>
      <c r="B295">
        <v>2644.3521910145701</v>
      </c>
      <c r="C295">
        <v>493838.07</v>
      </c>
      <c r="D295">
        <v>1.14158847090403</v>
      </c>
      <c r="E295">
        <v>14</v>
      </c>
      <c r="F295" t="s">
        <v>24</v>
      </c>
    </row>
    <row r="296" spans="1:6" x14ac:dyDescent="0.2">
      <c r="A296" t="s">
        <v>9</v>
      </c>
      <c r="B296">
        <v>2973.4069060781599</v>
      </c>
      <c r="C296">
        <v>701736.37</v>
      </c>
      <c r="D296">
        <v>2.4607023771285998</v>
      </c>
      <c r="E296">
        <v>14</v>
      </c>
      <c r="F296" t="s">
        <v>24</v>
      </c>
    </row>
    <row r="297" spans="1:6" x14ac:dyDescent="0.2">
      <c r="A297" t="s">
        <v>8</v>
      </c>
      <c r="B297">
        <v>3279.4364677368098</v>
      </c>
      <c r="C297">
        <v>1007739.44</v>
      </c>
      <c r="D297">
        <v>3.5403633451143901</v>
      </c>
      <c r="E297">
        <v>14</v>
      </c>
      <c r="F297" t="s">
        <v>24</v>
      </c>
    </row>
    <row r="298" spans="1:6" x14ac:dyDescent="0.2">
      <c r="A298" t="s">
        <v>6</v>
      </c>
      <c r="B298">
        <v>3608.4919223592501</v>
      </c>
      <c r="C298">
        <v>980909.47</v>
      </c>
      <c r="D298">
        <v>5.2800288613319397</v>
      </c>
      <c r="E298">
        <v>14</v>
      </c>
      <c r="F298" t="s">
        <v>24</v>
      </c>
    </row>
    <row r="299" spans="1:6" x14ac:dyDescent="0.2">
      <c r="A299" t="s">
        <v>10</v>
      </c>
      <c r="B299">
        <v>3913.5351568711199</v>
      </c>
      <c r="C299">
        <v>824980.37</v>
      </c>
      <c r="D299">
        <v>5.4879047031879402</v>
      </c>
      <c r="E299">
        <v>14</v>
      </c>
      <c r="F299" t="s">
        <v>24</v>
      </c>
    </row>
    <row r="300" spans="1:6" x14ac:dyDescent="0.2">
      <c r="A300" t="s">
        <v>9</v>
      </c>
      <c r="B300">
        <v>4258.5853701850201</v>
      </c>
      <c r="C300">
        <v>703319.07</v>
      </c>
      <c r="D300">
        <v>6.1206648703098301</v>
      </c>
      <c r="E300">
        <v>14</v>
      </c>
      <c r="F300" t="s">
        <v>24</v>
      </c>
    </row>
    <row r="301" spans="1:6" x14ac:dyDescent="0.2">
      <c r="A301" t="s">
        <v>11</v>
      </c>
      <c r="B301">
        <v>4564.6128257424298</v>
      </c>
      <c r="C301">
        <v>1409570.13</v>
      </c>
      <c r="D301">
        <v>6.6631430204391497</v>
      </c>
      <c r="E301">
        <v>14</v>
      </c>
      <c r="F301" t="s">
        <v>24</v>
      </c>
    </row>
    <row r="302" spans="1:6" x14ac:dyDescent="0.2">
      <c r="A302" t="s">
        <v>8</v>
      </c>
      <c r="B302">
        <v>4893.6680911050398</v>
      </c>
      <c r="C302">
        <v>1249923.01</v>
      </c>
      <c r="D302">
        <v>7.3504987692515096</v>
      </c>
      <c r="E302">
        <v>14</v>
      </c>
      <c r="F302" t="s">
        <v>24</v>
      </c>
    </row>
    <row r="303" spans="1:6" x14ac:dyDescent="0.2">
      <c r="A303" t="s">
        <v>9</v>
      </c>
      <c r="B303">
        <v>5199.6996740285604</v>
      </c>
      <c r="C303">
        <v>1326500.4099999999</v>
      </c>
      <c r="D303">
        <v>7.8029098864078499</v>
      </c>
      <c r="E303">
        <v>14</v>
      </c>
      <c r="F303" t="s">
        <v>24</v>
      </c>
    </row>
    <row r="304" spans="1:6" x14ac:dyDescent="0.2">
      <c r="A304" t="s">
        <v>10</v>
      </c>
      <c r="B304">
        <v>5544.7465678727203</v>
      </c>
      <c r="C304">
        <v>893110.98</v>
      </c>
      <c r="D304">
        <v>8.0699638203461994</v>
      </c>
      <c r="E304">
        <v>14</v>
      </c>
      <c r="F304" t="s">
        <v>24</v>
      </c>
    </row>
    <row r="305" spans="1:6" x14ac:dyDescent="0.2">
      <c r="A305" t="s">
        <v>8</v>
      </c>
      <c r="B305">
        <v>5873.8081422825499</v>
      </c>
      <c r="C305">
        <v>404295.63</v>
      </c>
      <c r="D305">
        <v>8.6993728454589796</v>
      </c>
      <c r="E305">
        <v>14</v>
      </c>
      <c r="F305" t="s">
        <v>24</v>
      </c>
    </row>
    <row r="306" spans="1:6" x14ac:dyDescent="0.2">
      <c r="A306" t="s">
        <v>10</v>
      </c>
      <c r="B306">
        <v>3505.4509681140798</v>
      </c>
      <c r="C306">
        <v>529866.11</v>
      </c>
      <c r="D306">
        <v>4.1683786526997899</v>
      </c>
      <c r="E306">
        <v>15</v>
      </c>
      <c r="F306" t="s">
        <v>25</v>
      </c>
    </row>
    <row r="307" spans="1:6" x14ac:dyDescent="0.2">
      <c r="A307" t="s">
        <v>8</v>
      </c>
      <c r="B307">
        <v>3850.4941952654699</v>
      </c>
      <c r="C307">
        <v>956760.6</v>
      </c>
      <c r="D307">
        <v>5.0405052121162397</v>
      </c>
      <c r="E307">
        <v>15</v>
      </c>
      <c r="F307" t="s">
        <v>25</v>
      </c>
    </row>
    <row r="308" spans="1:6" x14ac:dyDescent="0.2">
      <c r="A308" t="s">
        <v>10</v>
      </c>
      <c r="B308">
        <v>4179.5519130929097</v>
      </c>
      <c r="C308">
        <v>813048.3</v>
      </c>
      <c r="D308">
        <v>5.9669860358715097</v>
      </c>
      <c r="E308">
        <v>15</v>
      </c>
      <c r="F308" t="s">
        <v>25</v>
      </c>
    </row>
    <row r="309" spans="1:6" x14ac:dyDescent="0.2">
      <c r="A309" t="s">
        <v>6</v>
      </c>
      <c r="B309">
        <v>4524.6010865045801</v>
      </c>
      <c r="C309">
        <v>1150333.32</v>
      </c>
      <c r="D309">
        <v>6.5094394937833204</v>
      </c>
      <c r="E309">
        <v>15</v>
      </c>
      <c r="F309" t="s">
        <v>25</v>
      </c>
    </row>
    <row r="310" spans="1:6" x14ac:dyDescent="0.2">
      <c r="A310" t="s">
        <v>9</v>
      </c>
      <c r="B310">
        <v>4829.6443936352998</v>
      </c>
      <c r="C310">
        <v>692327.93</v>
      </c>
      <c r="D310">
        <v>6.78068572041194</v>
      </c>
      <c r="E310">
        <v>15</v>
      </c>
      <c r="F310" t="s">
        <v>25</v>
      </c>
    </row>
    <row r="311" spans="1:6" x14ac:dyDescent="0.2">
      <c r="A311" t="s">
        <v>11</v>
      </c>
      <c r="B311">
        <v>5135.6703574436797</v>
      </c>
      <c r="C311">
        <v>1341662.04</v>
      </c>
      <c r="D311">
        <v>7.3188331361293804</v>
      </c>
      <c r="E311">
        <v>15</v>
      </c>
      <c r="F311" t="s">
        <v>25</v>
      </c>
    </row>
    <row r="312" spans="1:6" x14ac:dyDescent="0.2">
      <c r="A312" t="s">
        <v>10</v>
      </c>
      <c r="B312">
        <v>5480.7256833480897</v>
      </c>
      <c r="C312">
        <v>234362.59</v>
      </c>
      <c r="D312">
        <v>7.6807436362584403</v>
      </c>
      <c r="E312">
        <v>15</v>
      </c>
      <c r="F312" t="s">
        <v>25</v>
      </c>
    </row>
    <row r="313" spans="1:6" x14ac:dyDescent="0.2">
      <c r="A313" t="s">
        <v>9</v>
      </c>
      <c r="B313">
        <v>4227.5807951645002</v>
      </c>
      <c r="C313">
        <v>136807.54</v>
      </c>
      <c r="D313">
        <v>6.8982393697579703</v>
      </c>
      <c r="E313">
        <v>16</v>
      </c>
      <c r="F313" t="s">
        <v>26</v>
      </c>
    </row>
    <row r="314" spans="1:6" x14ac:dyDescent="0.2">
      <c r="A314" t="s">
        <v>6</v>
      </c>
      <c r="B314">
        <v>4533.5976555727302</v>
      </c>
      <c r="C314">
        <v>69948.25</v>
      </c>
      <c r="D314">
        <v>7.6807436362584403</v>
      </c>
      <c r="E314">
        <v>16</v>
      </c>
      <c r="F314" t="s">
        <v>26</v>
      </c>
    </row>
    <row r="315" spans="1:6" x14ac:dyDescent="0.2">
      <c r="A315" t="s">
        <v>11</v>
      </c>
      <c r="B315">
        <v>4838.6527194593</v>
      </c>
      <c r="C315">
        <v>1315060.1599999999</v>
      </c>
      <c r="D315">
        <v>7.7124150033473997</v>
      </c>
      <c r="E315">
        <v>16</v>
      </c>
      <c r="F315" t="s">
        <v>26</v>
      </c>
    </row>
    <row r="316" spans="1:6" x14ac:dyDescent="0.2">
      <c r="A316" t="s">
        <v>9</v>
      </c>
      <c r="B316">
        <v>5144.6806366786404</v>
      </c>
      <c r="C316">
        <v>108309.31</v>
      </c>
      <c r="D316">
        <v>8.3733119284788806</v>
      </c>
      <c r="E316">
        <v>16</v>
      </c>
      <c r="F316" t="s">
        <v>26</v>
      </c>
    </row>
    <row r="317" spans="1:6" x14ac:dyDescent="0.2">
      <c r="A317" t="s">
        <v>9</v>
      </c>
      <c r="B317">
        <v>5450.7077760862603</v>
      </c>
      <c r="C317">
        <v>154796.85</v>
      </c>
      <c r="D317">
        <v>8.6993728454589796</v>
      </c>
      <c r="E317">
        <v>16</v>
      </c>
      <c r="F317" t="s">
        <v>26</v>
      </c>
    </row>
    <row r="318" spans="1:6" x14ac:dyDescent="0.2">
      <c r="A318" t="s">
        <v>6</v>
      </c>
      <c r="B318">
        <v>5755.7520015496002</v>
      </c>
      <c r="C318">
        <v>327212.19</v>
      </c>
      <c r="D318">
        <v>8.6087896442095406</v>
      </c>
      <c r="E318">
        <v>16</v>
      </c>
      <c r="F318" t="s">
        <v>26</v>
      </c>
    </row>
    <row r="319" spans="1:6" x14ac:dyDescent="0.2">
      <c r="A319" t="s">
        <v>8</v>
      </c>
      <c r="B319">
        <v>6084.8045581072201</v>
      </c>
      <c r="C319">
        <v>161632.07999999999</v>
      </c>
      <c r="D319">
        <v>9.2704182362238594</v>
      </c>
      <c r="E319">
        <v>16</v>
      </c>
      <c r="F319" t="s">
        <v>26</v>
      </c>
    </row>
    <row r="320" spans="1:6" x14ac:dyDescent="0.2">
      <c r="A320" t="s">
        <v>8</v>
      </c>
      <c r="B320">
        <v>6413.8608130408602</v>
      </c>
      <c r="C320">
        <v>173554.1</v>
      </c>
      <c r="D320">
        <v>9.4788820937951392</v>
      </c>
      <c r="E320">
        <v>16</v>
      </c>
      <c r="F320" t="s">
        <v>26</v>
      </c>
    </row>
    <row r="321" spans="1:6" x14ac:dyDescent="0.2">
      <c r="A321" t="s">
        <v>6</v>
      </c>
      <c r="B321">
        <v>6718.8916437145699</v>
      </c>
      <c r="C321">
        <v>251615.41</v>
      </c>
      <c r="D321">
        <v>9.7508374289353696</v>
      </c>
      <c r="E321">
        <v>16</v>
      </c>
      <c r="F321" t="s">
        <v>26</v>
      </c>
    </row>
    <row r="322" spans="1:6" x14ac:dyDescent="0.2">
      <c r="A322" t="s">
        <v>9</v>
      </c>
      <c r="B322">
        <v>7024.9223969773802</v>
      </c>
      <c r="C322">
        <v>358334.43</v>
      </c>
      <c r="D322">
        <v>9.9322059944947494</v>
      </c>
      <c r="E322">
        <v>16</v>
      </c>
      <c r="F322" t="s">
        <v>26</v>
      </c>
    </row>
    <row r="323" spans="1:6" x14ac:dyDescent="0.2">
      <c r="A323" t="s">
        <v>9</v>
      </c>
      <c r="B323">
        <v>2565.3232392395698</v>
      </c>
      <c r="C323">
        <v>1019310.31</v>
      </c>
      <c r="D323">
        <v>1.07834287838936</v>
      </c>
      <c r="E323">
        <v>17</v>
      </c>
      <c r="F323" t="s">
        <v>27</v>
      </c>
    </row>
    <row r="324" spans="1:6" x14ac:dyDescent="0.2">
      <c r="A324" t="s">
        <v>11</v>
      </c>
      <c r="B324">
        <v>2871.3506979732001</v>
      </c>
      <c r="C324">
        <v>1184021.57</v>
      </c>
      <c r="D324">
        <v>1.67917446252505</v>
      </c>
      <c r="E324">
        <v>17</v>
      </c>
      <c r="F324" t="s">
        <v>27</v>
      </c>
    </row>
    <row r="325" spans="1:6" x14ac:dyDescent="0.2">
      <c r="A325" t="s">
        <v>9</v>
      </c>
      <c r="B325">
        <v>3177.37854298618</v>
      </c>
      <c r="C325">
        <v>594000.84</v>
      </c>
      <c r="D325">
        <v>3.0299002126534802</v>
      </c>
      <c r="E325">
        <v>17</v>
      </c>
      <c r="F325" t="s">
        <v>27</v>
      </c>
    </row>
    <row r="326" spans="1:6" x14ac:dyDescent="0.2">
      <c r="A326" t="s">
        <v>10</v>
      </c>
      <c r="B326">
        <v>3522.4248756608899</v>
      </c>
      <c r="C326">
        <v>595666.87</v>
      </c>
      <c r="D326">
        <v>4.1412692184925097</v>
      </c>
      <c r="E326">
        <v>17</v>
      </c>
      <c r="F326" t="s">
        <v>27</v>
      </c>
    </row>
    <row r="327" spans="1:6" x14ac:dyDescent="0.2">
      <c r="A327" t="s">
        <v>6</v>
      </c>
      <c r="B327">
        <v>3827.4716480993702</v>
      </c>
      <c r="C327">
        <v>266038.81</v>
      </c>
      <c r="D327">
        <v>4.6790031865914701</v>
      </c>
      <c r="E327">
        <v>17</v>
      </c>
      <c r="F327" t="s">
        <v>27</v>
      </c>
    </row>
    <row r="328" spans="1:6" x14ac:dyDescent="0.2">
      <c r="A328" t="s">
        <v>9</v>
      </c>
      <c r="B328">
        <v>4133.4909651181097</v>
      </c>
      <c r="C328">
        <v>145779.32</v>
      </c>
      <c r="D328">
        <v>5.3704148029963203</v>
      </c>
      <c r="E328">
        <v>17</v>
      </c>
      <c r="F328" t="s">
        <v>27</v>
      </c>
    </row>
    <row r="329" spans="1:6" x14ac:dyDescent="0.2">
      <c r="A329" t="s">
        <v>9</v>
      </c>
      <c r="B329">
        <v>4439.5148292261701</v>
      </c>
      <c r="C329">
        <v>90128.34</v>
      </c>
      <c r="D329">
        <v>6.0031435604572296</v>
      </c>
      <c r="E329">
        <v>17</v>
      </c>
      <c r="F329" t="s">
        <v>27</v>
      </c>
    </row>
    <row r="330" spans="1:6" x14ac:dyDescent="0.2">
      <c r="A330" t="s">
        <v>8</v>
      </c>
      <c r="B330">
        <v>4768.573852683</v>
      </c>
      <c r="C330">
        <v>385979.75</v>
      </c>
      <c r="D330">
        <v>6.8078124936103803</v>
      </c>
      <c r="E330">
        <v>17</v>
      </c>
      <c r="F330" t="s">
        <v>27</v>
      </c>
    </row>
    <row r="331" spans="1:6" x14ac:dyDescent="0.2">
      <c r="A331" t="s">
        <v>8</v>
      </c>
      <c r="B331">
        <v>5097.6356751326603</v>
      </c>
      <c r="C331">
        <v>727960.78</v>
      </c>
      <c r="D331">
        <v>7.4997938370386796</v>
      </c>
      <c r="E331">
        <v>17</v>
      </c>
      <c r="F331" t="s">
        <v>27</v>
      </c>
    </row>
    <row r="332" spans="1:6" x14ac:dyDescent="0.2">
      <c r="A332" t="s">
        <v>6</v>
      </c>
      <c r="B332">
        <v>5402.6781614267202</v>
      </c>
      <c r="C332">
        <v>1127041.6100000001</v>
      </c>
      <c r="D332">
        <v>7.6807436362584403</v>
      </c>
      <c r="E332">
        <v>17</v>
      </c>
      <c r="F332" t="s">
        <v>27</v>
      </c>
    </row>
    <row r="333" spans="1:6" x14ac:dyDescent="0.2">
      <c r="A333" t="s">
        <v>8</v>
      </c>
      <c r="B333">
        <v>5731.7354256238596</v>
      </c>
      <c r="C333">
        <v>704271.41</v>
      </c>
      <c r="D333">
        <v>8.2510596112092305</v>
      </c>
      <c r="E333">
        <v>17</v>
      </c>
      <c r="F333" t="s">
        <v>27</v>
      </c>
    </row>
    <row r="334" spans="1:6" x14ac:dyDescent="0.2">
      <c r="A334" t="s">
        <v>10</v>
      </c>
      <c r="B334">
        <v>6076.7899926792397</v>
      </c>
      <c r="C334">
        <v>907254.63</v>
      </c>
      <c r="D334">
        <v>8.5499259765625002</v>
      </c>
      <c r="E334">
        <v>17</v>
      </c>
      <c r="F334" t="s">
        <v>27</v>
      </c>
    </row>
    <row r="335" spans="1:6" x14ac:dyDescent="0.2">
      <c r="A335" t="s">
        <v>9</v>
      </c>
      <c r="B335">
        <v>6382.8234446740598</v>
      </c>
      <c r="C335">
        <v>671508.6</v>
      </c>
      <c r="D335">
        <v>8.8171853279749506</v>
      </c>
      <c r="E335">
        <v>17</v>
      </c>
      <c r="F335" t="s">
        <v>27</v>
      </c>
    </row>
    <row r="336" spans="1:6" x14ac:dyDescent="0.2">
      <c r="A336" t="s">
        <v>8</v>
      </c>
      <c r="B336">
        <v>6711.8707343378501</v>
      </c>
      <c r="C336">
        <v>414793.87</v>
      </c>
      <c r="D336">
        <v>9.3610533849080397</v>
      </c>
      <c r="E336">
        <v>17</v>
      </c>
      <c r="F336" t="s">
        <v>27</v>
      </c>
    </row>
    <row r="337" spans="1:6" x14ac:dyDescent="0.2">
      <c r="A337" t="s">
        <v>6</v>
      </c>
      <c r="B337">
        <v>7016.9090389580997</v>
      </c>
      <c r="C337">
        <v>296968.43</v>
      </c>
      <c r="D337">
        <v>9.4516992524941799</v>
      </c>
      <c r="E337">
        <v>17</v>
      </c>
      <c r="F337" t="s">
        <v>27</v>
      </c>
    </row>
    <row r="338" spans="1:6" x14ac:dyDescent="0.2">
      <c r="A338" t="s">
        <v>8</v>
      </c>
      <c r="B338">
        <v>7345.9579490167498</v>
      </c>
      <c r="C338">
        <v>502991.32</v>
      </c>
      <c r="D338">
        <v>9.8097735281467404</v>
      </c>
      <c r="E338">
        <v>17</v>
      </c>
      <c r="F338" t="s">
        <v>27</v>
      </c>
    </row>
    <row r="339" spans="1:6" x14ac:dyDescent="0.2">
      <c r="A339" t="s">
        <v>9</v>
      </c>
      <c r="B339">
        <v>7651.9822571252298</v>
      </c>
      <c r="C339">
        <v>299904.88</v>
      </c>
      <c r="D339">
        <v>10.0228696461201</v>
      </c>
      <c r="E339">
        <v>17</v>
      </c>
      <c r="F339" t="s">
        <v>27</v>
      </c>
    </row>
    <row r="340" spans="1:6" x14ac:dyDescent="0.2">
      <c r="A340" t="s">
        <v>8</v>
      </c>
      <c r="B340">
        <v>7981.0304836156301</v>
      </c>
      <c r="C340">
        <v>318186.83</v>
      </c>
      <c r="D340">
        <v>10.4129120862166</v>
      </c>
      <c r="E340">
        <v>17</v>
      </c>
      <c r="F340" t="s">
        <v>27</v>
      </c>
    </row>
    <row r="341" spans="1:6" x14ac:dyDescent="0.2">
      <c r="A341" t="s">
        <v>10</v>
      </c>
      <c r="B341">
        <v>8326.0911222650993</v>
      </c>
      <c r="C341">
        <v>374278.7</v>
      </c>
      <c r="D341">
        <v>10.558054118919401</v>
      </c>
      <c r="E341">
        <v>17</v>
      </c>
      <c r="F341" t="s">
        <v>27</v>
      </c>
    </row>
    <row r="342" spans="1:6" x14ac:dyDescent="0.2">
      <c r="A342" t="s">
        <v>9</v>
      </c>
      <c r="B342">
        <v>8632.1149138593701</v>
      </c>
      <c r="C342">
        <v>287518.74</v>
      </c>
      <c r="D342">
        <v>10.712296018568701</v>
      </c>
      <c r="E342">
        <v>17</v>
      </c>
      <c r="F342" t="s">
        <v>27</v>
      </c>
    </row>
    <row r="343" spans="1:6" x14ac:dyDescent="0.2">
      <c r="A343" t="s">
        <v>8</v>
      </c>
      <c r="B343">
        <v>8961.1711791835605</v>
      </c>
      <c r="C343">
        <v>160360.44</v>
      </c>
      <c r="D343">
        <v>11.038978453048101</v>
      </c>
      <c r="E343">
        <v>17</v>
      </c>
      <c r="F343" t="s">
        <v>27</v>
      </c>
    </row>
    <row r="344" spans="1:6" x14ac:dyDescent="0.2">
      <c r="A344" t="s">
        <v>8</v>
      </c>
      <c r="B344">
        <v>9290.2228093761805</v>
      </c>
      <c r="C344">
        <v>124795.45</v>
      </c>
      <c r="D344">
        <v>11.3111668363889</v>
      </c>
      <c r="E344">
        <v>17</v>
      </c>
      <c r="F344" t="s">
        <v>27</v>
      </c>
    </row>
    <row r="345" spans="1:6" x14ac:dyDescent="0.2">
      <c r="A345" t="s">
        <v>6</v>
      </c>
      <c r="B345">
        <v>9595.2485869858501</v>
      </c>
      <c r="C345">
        <v>88529.12</v>
      </c>
      <c r="D345">
        <v>11.3111668363889</v>
      </c>
      <c r="E345">
        <v>17</v>
      </c>
      <c r="F345" t="s">
        <v>27</v>
      </c>
    </row>
    <row r="346" spans="1:6" x14ac:dyDescent="0.2">
      <c r="A346" t="s">
        <v>9</v>
      </c>
      <c r="B346">
        <v>9901.2823781975203</v>
      </c>
      <c r="C346">
        <v>121977.92</v>
      </c>
      <c r="D346">
        <v>11.370116702286399</v>
      </c>
      <c r="E346">
        <v>17</v>
      </c>
      <c r="F346" t="s">
        <v>27</v>
      </c>
    </row>
    <row r="347" spans="1:6" x14ac:dyDescent="0.2">
      <c r="A347" t="s">
        <v>9</v>
      </c>
      <c r="B347">
        <v>10207.293642840399</v>
      </c>
      <c r="C347">
        <v>40627.15</v>
      </c>
      <c r="D347">
        <v>11.637894735304499</v>
      </c>
      <c r="E347">
        <v>17</v>
      </c>
      <c r="F347" t="s">
        <v>27</v>
      </c>
    </row>
    <row r="348" spans="1:6" x14ac:dyDescent="0.2">
      <c r="A348" t="s">
        <v>9</v>
      </c>
      <c r="B348">
        <v>10513.3452060952</v>
      </c>
      <c r="C348">
        <v>58437.43</v>
      </c>
      <c r="D348">
        <v>11.6696680104415</v>
      </c>
      <c r="E348">
        <v>17</v>
      </c>
      <c r="F348" t="s">
        <v>27</v>
      </c>
    </row>
    <row r="349" spans="1:6" x14ac:dyDescent="0.2">
      <c r="A349" t="s">
        <v>6</v>
      </c>
      <c r="B349">
        <v>10818.375446259401</v>
      </c>
      <c r="C349">
        <v>51299.62</v>
      </c>
      <c r="D349">
        <v>11.6696680104415</v>
      </c>
      <c r="E349">
        <v>17</v>
      </c>
      <c r="F349" t="s">
        <v>27</v>
      </c>
    </row>
    <row r="350" spans="1:6" x14ac:dyDescent="0.2">
      <c r="A350" t="s">
        <v>6</v>
      </c>
      <c r="B350">
        <v>2017.2906398815201</v>
      </c>
      <c r="C350">
        <v>163812.76999999999</v>
      </c>
      <c r="D350">
        <v>0.96089091854095499</v>
      </c>
      <c r="E350">
        <v>18</v>
      </c>
      <c r="F350" t="s">
        <v>28</v>
      </c>
    </row>
    <row r="351" spans="1:6" x14ac:dyDescent="0.2">
      <c r="A351" t="s">
        <v>8</v>
      </c>
      <c r="B351">
        <v>2322.3300706620898</v>
      </c>
      <c r="C351">
        <v>401916.01</v>
      </c>
      <c r="D351">
        <v>1.0196155285517401</v>
      </c>
      <c r="E351">
        <v>18</v>
      </c>
      <c r="F351" t="s">
        <v>28</v>
      </c>
    </row>
    <row r="352" spans="1:6" x14ac:dyDescent="0.2">
      <c r="A352" t="s">
        <v>10</v>
      </c>
      <c r="B352">
        <v>2651.3866516427902</v>
      </c>
      <c r="C352">
        <v>725175.13</v>
      </c>
      <c r="D352">
        <v>1.64755338784854</v>
      </c>
      <c r="E352">
        <v>18</v>
      </c>
      <c r="F352" t="s">
        <v>28</v>
      </c>
    </row>
    <row r="353" spans="1:6" x14ac:dyDescent="0.2">
      <c r="A353" t="s">
        <v>6</v>
      </c>
      <c r="B353">
        <v>2996.4307754972201</v>
      </c>
      <c r="C353">
        <v>265388.28000000003</v>
      </c>
      <c r="D353">
        <v>3.2376956180413599</v>
      </c>
      <c r="E353">
        <v>18</v>
      </c>
      <c r="F353" t="s">
        <v>28</v>
      </c>
    </row>
    <row r="354" spans="1:6" x14ac:dyDescent="0.2">
      <c r="A354" t="s">
        <v>6</v>
      </c>
      <c r="B354">
        <v>3301.4743740112599</v>
      </c>
      <c r="C354">
        <v>179482.67</v>
      </c>
      <c r="D354">
        <v>3.8430762107849099</v>
      </c>
      <c r="E354">
        <v>18</v>
      </c>
      <c r="F354" t="s">
        <v>28</v>
      </c>
    </row>
    <row r="355" spans="1:6" x14ac:dyDescent="0.2">
      <c r="A355" t="s">
        <v>8</v>
      </c>
      <c r="B355">
        <v>3606.5460378042999</v>
      </c>
      <c r="C355">
        <v>24790.86</v>
      </c>
      <c r="D355">
        <v>6.8982393697579703</v>
      </c>
      <c r="E355">
        <v>18</v>
      </c>
      <c r="F355" t="s">
        <v>28</v>
      </c>
    </row>
    <row r="356" spans="1:6" x14ac:dyDescent="0.2">
      <c r="A356" t="s">
        <v>9</v>
      </c>
      <c r="B356">
        <v>3935.6023200270702</v>
      </c>
      <c r="C356">
        <v>18103.349999999999</v>
      </c>
      <c r="D356">
        <v>7.6807436362584403</v>
      </c>
      <c r="E356">
        <v>18</v>
      </c>
      <c r="F356" t="s">
        <v>28</v>
      </c>
    </row>
    <row r="357" spans="1:6" x14ac:dyDescent="0.2">
      <c r="A357" t="s">
        <v>10</v>
      </c>
      <c r="B357">
        <v>4241.5994363909404</v>
      </c>
      <c r="C357">
        <v>326032.24</v>
      </c>
      <c r="D357">
        <v>6.17943720377286</v>
      </c>
      <c r="E357">
        <v>18</v>
      </c>
      <c r="F357" t="s">
        <v>28</v>
      </c>
    </row>
    <row r="358" spans="1:6" x14ac:dyDescent="0.2">
      <c r="A358" t="s">
        <v>9</v>
      </c>
      <c r="B358">
        <v>4586.6493318026596</v>
      </c>
      <c r="C358">
        <v>261750.98</v>
      </c>
      <c r="D358">
        <v>6.6631430204391497</v>
      </c>
      <c r="E358">
        <v>18</v>
      </c>
      <c r="F358" t="s">
        <v>28</v>
      </c>
    </row>
    <row r="359" spans="1:6" x14ac:dyDescent="0.2">
      <c r="A359" t="s">
        <v>9</v>
      </c>
      <c r="B359">
        <v>4892.6736556735004</v>
      </c>
      <c r="C359">
        <v>946030.58</v>
      </c>
      <c r="D359">
        <v>7.5902651703039803</v>
      </c>
      <c r="E359">
        <v>18</v>
      </c>
      <c r="F359" t="s">
        <v>28</v>
      </c>
    </row>
    <row r="360" spans="1:6" x14ac:dyDescent="0.2">
      <c r="A360" t="s">
        <v>11</v>
      </c>
      <c r="B360">
        <v>5198.7047603108003</v>
      </c>
      <c r="C360">
        <v>1180785.74</v>
      </c>
      <c r="D360">
        <v>7.6490736877600298</v>
      </c>
      <c r="E360">
        <v>18</v>
      </c>
      <c r="F360" t="s">
        <v>28</v>
      </c>
    </row>
    <row r="361" spans="1:6" x14ac:dyDescent="0.2">
      <c r="A361" t="s">
        <v>6</v>
      </c>
      <c r="B361">
        <v>5503.7532935170802</v>
      </c>
      <c r="C361">
        <v>659320.43000000005</v>
      </c>
      <c r="D361">
        <v>7.8572145278930696</v>
      </c>
      <c r="E361">
        <v>18</v>
      </c>
      <c r="F361" t="s">
        <v>28</v>
      </c>
    </row>
    <row r="362" spans="1:6" x14ac:dyDescent="0.2">
      <c r="A362" t="s">
        <v>6</v>
      </c>
      <c r="B362">
        <v>5808.7950202851298</v>
      </c>
      <c r="C362">
        <v>223889.77</v>
      </c>
      <c r="D362">
        <v>8.0111072178363791</v>
      </c>
      <c r="E362">
        <v>18</v>
      </c>
      <c r="F362" t="s">
        <v>28</v>
      </c>
    </row>
    <row r="363" spans="1:6" x14ac:dyDescent="0.2">
      <c r="A363" t="s">
        <v>10</v>
      </c>
      <c r="B363">
        <v>6153.8782135407801</v>
      </c>
      <c r="C363">
        <v>56807.3</v>
      </c>
      <c r="D363">
        <v>9.5423348780155202</v>
      </c>
      <c r="E363">
        <v>18</v>
      </c>
      <c r="F363" t="s">
        <v>28</v>
      </c>
    </row>
    <row r="364" spans="1:6" x14ac:dyDescent="0.2">
      <c r="A364" t="s">
        <v>6</v>
      </c>
      <c r="B364">
        <v>6458.8916912588902</v>
      </c>
      <c r="C364">
        <v>292340.88</v>
      </c>
      <c r="D364">
        <v>9.9322059944947494</v>
      </c>
      <c r="E364">
        <v>18</v>
      </c>
      <c r="F364" t="s">
        <v>28</v>
      </c>
    </row>
    <row r="365" spans="1:6" x14ac:dyDescent="0.2">
      <c r="A365" t="s">
        <v>6</v>
      </c>
      <c r="B365">
        <v>6763.9152995125996</v>
      </c>
      <c r="C365">
        <v>192273.85</v>
      </c>
      <c r="D365">
        <v>8.8806360796769503</v>
      </c>
      <c r="E365">
        <v>18</v>
      </c>
      <c r="F365" t="s">
        <v>28</v>
      </c>
    </row>
    <row r="366" spans="1:6" x14ac:dyDescent="0.2">
      <c r="A366" t="s">
        <v>6</v>
      </c>
      <c r="B366">
        <v>3231.4508166988599</v>
      </c>
      <c r="C366">
        <v>868482.87</v>
      </c>
      <c r="D366">
        <v>5.4607942457675902</v>
      </c>
      <c r="E366">
        <v>19</v>
      </c>
      <c r="F366" t="s">
        <v>29</v>
      </c>
    </row>
    <row r="367" spans="1:6" x14ac:dyDescent="0.2">
      <c r="A367" t="s">
        <v>8</v>
      </c>
      <c r="B367">
        <v>3536.48630981519</v>
      </c>
      <c r="C367">
        <v>599452.47</v>
      </c>
      <c r="D367">
        <v>5.5511773522377004</v>
      </c>
      <c r="E367">
        <v>19</v>
      </c>
      <c r="F367" t="s">
        <v>29</v>
      </c>
    </row>
    <row r="368" spans="1:6" x14ac:dyDescent="0.2">
      <c r="A368" t="s">
        <v>10</v>
      </c>
      <c r="B368">
        <v>3865.52629896899</v>
      </c>
      <c r="C368">
        <v>927252.91</v>
      </c>
      <c r="D368">
        <v>6.32862172878583</v>
      </c>
      <c r="E368">
        <v>19</v>
      </c>
      <c r="F368" t="s">
        <v>29</v>
      </c>
    </row>
    <row r="369" spans="1:6" x14ac:dyDescent="0.2">
      <c r="A369" t="s">
        <v>9</v>
      </c>
      <c r="B369">
        <v>4210.5971339614798</v>
      </c>
      <c r="C369">
        <v>841337.08</v>
      </c>
      <c r="D369">
        <v>6.96154171980222</v>
      </c>
      <c r="E369">
        <v>19</v>
      </c>
      <c r="F369" t="s">
        <v>29</v>
      </c>
    </row>
    <row r="370" spans="1:6" x14ac:dyDescent="0.2">
      <c r="A370" t="s">
        <v>6</v>
      </c>
      <c r="B370">
        <v>4516.5873036604198</v>
      </c>
      <c r="C370">
        <v>213708.93</v>
      </c>
      <c r="D370">
        <v>5.8494748866240203</v>
      </c>
      <c r="E370">
        <v>19</v>
      </c>
      <c r="F370" t="s">
        <v>29</v>
      </c>
    </row>
    <row r="371" spans="1:6" x14ac:dyDescent="0.2">
      <c r="A371" t="s">
        <v>11</v>
      </c>
      <c r="B371">
        <v>4821.6408778593805</v>
      </c>
      <c r="C371">
        <v>1176121.97</v>
      </c>
      <c r="D371">
        <v>7.6490736877600298</v>
      </c>
      <c r="E371">
        <v>19</v>
      </c>
      <c r="F371" t="s">
        <v>29</v>
      </c>
    </row>
    <row r="372" spans="1:6" x14ac:dyDescent="0.2">
      <c r="A372" t="s">
        <v>8</v>
      </c>
      <c r="B372">
        <v>5150.7096489961796</v>
      </c>
      <c r="C372">
        <v>295362.15000000002</v>
      </c>
      <c r="D372">
        <v>8.3099201039155304</v>
      </c>
      <c r="E372">
        <v>19</v>
      </c>
      <c r="F372" t="s">
        <v>29</v>
      </c>
    </row>
    <row r="373" spans="1:6" x14ac:dyDescent="0.2">
      <c r="A373" t="s">
        <v>9</v>
      </c>
      <c r="B373">
        <v>2605.3306110469798</v>
      </c>
      <c r="C373">
        <v>926822.3</v>
      </c>
      <c r="D373">
        <v>1.14158847090403</v>
      </c>
      <c r="E373">
        <v>20</v>
      </c>
      <c r="F373" t="s">
        <v>30</v>
      </c>
    </row>
    <row r="374" spans="1:6" x14ac:dyDescent="0.2">
      <c r="A374" t="s">
        <v>10</v>
      </c>
      <c r="B374">
        <v>2911.3638970557199</v>
      </c>
      <c r="C374">
        <v>448421.12</v>
      </c>
      <c r="D374">
        <v>1.8915003275553399</v>
      </c>
      <c r="E374">
        <v>20</v>
      </c>
      <c r="F374" t="s">
        <v>30</v>
      </c>
    </row>
    <row r="375" spans="1:6" x14ac:dyDescent="0.2">
      <c r="A375" t="s">
        <v>6</v>
      </c>
      <c r="B375">
        <v>3256.4168878250398</v>
      </c>
      <c r="C375">
        <v>368616.64</v>
      </c>
      <c r="D375">
        <v>3.0570046281496701</v>
      </c>
      <c r="E375">
        <v>20</v>
      </c>
      <c r="F375" t="s">
        <v>30</v>
      </c>
    </row>
    <row r="376" spans="1:6" x14ac:dyDescent="0.2">
      <c r="A376" t="s">
        <v>10</v>
      </c>
      <c r="B376">
        <v>3561.4518280478601</v>
      </c>
      <c r="C376">
        <v>389332.37</v>
      </c>
      <c r="D376">
        <v>4.2316353773752802</v>
      </c>
      <c r="E376">
        <v>20</v>
      </c>
      <c r="F376" t="s">
        <v>30</v>
      </c>
    </row>
    <row r="377" spans="1:6" x14ac:dyDescent="0.2">
      <c r="A377" t="s">
        <v>8</v>
      </c>
      <c r="B377">
        <v>3906.4960887422899</v>
      </c>
      <c r="C377">
        <v>258057.65</v>
      </c>
      <c r="D377">
        <v>4.8913853780110701</v>
      </c>
      <c r="E377">
        <v>20</v>
      </c>
      <c r="F377" t="s">
        <v>30</v>
      </c>
    </row>
    <row r="378" spans="1:6" x14ac:dyDescent="0.2">
      <c r="A378" t="s">
        <v>9</v>
      </c>
      <c r="B378">
        <v>4235.5539903030403</v>
      </c>
      <c r="C378">
        <v>613954.79</v>
      </c>
      <c r="D378">
        <v>5.8811136698405004</v>
      </c>
      <c r="E378">
        <v>20</v>
      </c>
      <c r="F378" t="s">
        <v>30</v>
      </c>
    </row>
    <row r="379" spans="1:6" x14ac:dyDescent="0.2">
      <c r="A379" t="s">
        <v>8</v>
      </c>
      <c r="B379">
        <v>4541.5837090656796</v>
      </c>
      <c r="C379">
        <v>631873.21</v>
      </c>
      <c r="D379">
        <v>6.3919035450299599</v>
      </c>
      <c r="E379">
        <v>20</v>
      </c>
      <c r="F379" t="s">
        <v>30</v>
      </c>
    </row>
    <row r="380" spans="1:6" x14ac:dyDescent="0.2">
      <c r="A380" t="s">
        <v>11</v>
      </c>
      <c r="B380">
        <v>4870.6352316004204</v>
      </c>
      <c r="C380">
        <v>1117392.5</v>
      </c>
      <c r="D380">
        <v>7.1695676362196599</v>
      </c>
      <c r="E380">
        <v>20</v>
      </c>
      <c r="F380" t="s">
        <v>30</v>
      </c>
    </row>
    <row r="381" spans="1:6" x14ac:dyDescent="0.2">
      <c r="A381" t="s">
        <v>8</v>
      </c>
      <c r="B381">
        <v>6115.8173202017997</v>
      </c>
      <c r="C381">
        <v>406114</v>
      </c>
      <c r="D381">
        <v>8.5499259765625002</v>
      </c>
      <c r="E381">
        <v>21</v>
      </c>
      <c r="F381" t="s">
        <v>31</v>
      </c>
    </row>
    <row r="382" spans="1:6" x14ac:dyDescent="0.2">
      <c r="A382" t="s">
        <v>11</v>
      </c>
      <c r="B382">
        <v>6444.8672969675599</v>
      </c>
      <c r="C382">
        <v>1069060.77</v>
      </c>
      <c r="D382">
        <v>8.9984834865411099</v>
      </c>
      <c r="E382">
        <v>21</v>
      </c>
      <c r="F382" t="s">
        <v>31</v>
      </c>
    </row>
    <row r="383" spans="1:6" x14ac:dyDescent="0.2">
      <c r="A383" t="s">
        <v>10</v>
      </c>
      <c r="B383">
        <v>6789.9180354314203</v>
      </c>
      <c r="C383">
        <v>293710.98</v>
      </c>
      <c r="D383">
        <v>9.1797867949485799</v>
      </c>
      <c r="E383">
        <v>21</v>
      </c>
      <c r="F383" t="s">
        <v>31</v>
      </c>
    </row>
    <row r="384" spans="1:6" x14ac:dyDescent="0.2">
      <c r="A384" t="s">
        <v>9</v>
      </c>
      <c r="B384">
        <v>7095.9478952835998</v>
      </c>
      <c r="C384">
        <v>294841.46999999997</v>
      </c>
      <c r="D384">
        <v>9.4788820937951392</v>
      </c>
      <c r="E384">
        <v>21</v>
      </c>
      <c r="F384" t="s">
        <v>31</v>
      </c>
    </row>
    <row r="385" spans="1:6" x14ac:dyDescent="0.2">
      <c r="A385" t="s">
        <v>10</v>
      </c>
      <c r="B385">
        <v>7440.97481445633</v>
      </c>
      <c r="C385">
        <v>181710.56</v>
      </c>
      <c r="D385">
        <v>9.7190961773872395</v>
      </c>
      <c r="E385">
        <v>21</v>
      </c>
      <c r="F385" t="s">
        <v>31</v>
      </c>
    </row>
    <row r="386" spans="1:6" x14ac:dyDescent="0.2">
      <c r="A386" t="s">
        <v>8</v>
      </c>
      <c r="B386">
        <v>7770.0365354190799</v>
      </c>
      <c r="C386">
        <v>261623.66</v>
      </c>
      <c r="D386">
        <v>10.0772891537031</v>
      </c>
      <c r="E386">
        <v>21</v>
      </c>
      <c r="F386" t="s">
        <v>31</v>
      </c>
    </row>
    <row r="387" spans="1:6" x14ac:dyDescent="0.2">
      <c r="A387" t="s">
        <v>6</v>
      </c>
      <c r="B387">
        <v>8075.0709257500203</v>
      </c>
      <c r="C387">
        <v>191305.3</v>
      </c>
      <c r="D387">
        <v>10.231469952631</v>
      </c>
      <c r="E387">
        <v>21</v>
      </c>
      <c r="F387" t="s">
        <v>31</v>
      </c>
    </row>
    <row r="388" spans="1:6" x14ac:dyDescent="0.2">
      <c r="A388" t="s">
        <v>6</v>
      </c>
      <c r="B388">
        <v>8380.0959896132208</v>
      </c>
      <c r="C388">
        <v>152740.19</v>
      </c>
      <c r="D388">
        <v>10.258681902853599</v>
      </c>
      <c r="E388">
        <v>21</v>
      </c>
      <c r="F388" t="s">
        <v>31</v>
      </c>
    </row>
    <row r="389" spans="1:6" x14ac:dyDescent="0.2">
      <c r="A389" t="s">
        <v>9</v>
      </c>
      <c r="B389">
        <v>8686.1465779093796</v>
      </c>
      <c r="C389">
        <v>94518.399999999994</v>
      </c>
      <c r="D389">
        <v>10.4129120862166</v>
      </c>
      <c r="E389">
        <v>21</v>
      </c>
      <c r="F389" t="s">
        <v>31</v>
      </c>
    </row>
    <row r="390" spans="1:6" x14ac:dyDescent="0.2">
      <c r="A390" t="s">
        <v>8</v>
      </c>
      <c r="B390">
        <v>9015.1791792561307</v>
      </c>
      <c r="C390">
        <v>99642.62</v>
      </c>
      <c r="D390">
        <v>10.7395170028687</v>
      </c>
      <c r="E390">
        <v>21</v>
      </c>
      <c r="F390" t="s">
        <v>31</v>
      </c>
    </row>
    <row r="391" spans="1:6" x14ac:dyDescent="0.2">
      <c r="A391" t="s">
        <v>8</v>
      </c>
      <c r="B391">
        <v>9344.2453535760797</v>
      </c>
      <c r="C391">
        <v>73413.95</v>
      </c>
      <c r="D391">
        <v>11.1024970030467</v>
      </c>
      <c r="E391">
        <v>21</v>
      </c>
      <c r="F391" t="s">
        <v>31</v>
      </c>
    </row>
    <row r="392" spans="1:6" x14ac:dyDescent="0.2">
      <c r="A392" t="s">
        <v>6</v>
      </c>
      <c r="B392">
        <v>9649.2578702214705</v>
      </c>
      <c r="C392">
        <v>42121.08</v>
      </c>
      <c r="D392">
        <v>11.220441811847699</v>
      </c>
      <c r="E392">
        <v>21</v>
      </c>
      <c r="F392" t="s">
        <v>31</v>
      </c>
    </row>
    <row r="393" spans="1:6" x14ac:dyDescent="0.2">
      <c r="A393" t="s">
        <v>8</v>
      </c>
      <c r="B393">
        <v>9978.3297405959893</v>
      </c>
      <c r="C393">
        <v>75542.570000000007</v>
      </c>
      <c r="D393">
        <v>11.4291141863346</v>
      </c>
      <c r="E393">
        <v>21</v>
      </c>
      <c r="F393" t="s">
        <v>31</v>
      </c>
    </row>
    <row r="394" spans="1:6" x14ac:dyDescent="0.2">
      <c r="A394" t="s">
        <v>10</v>
      </c>
      <c r="B394">
        <v>10323.3515459266</v>
      </c>
      <c r="C394">
        <v>49413.67</v>
      </c>
      <c r="D394">
        <v>11.492626493740101</v>
      </c>
      <c r="E394">
        <v>21</v>
      </c>
      <c r="F394" t="s">
        <v>31</v>
      </c>
    </row>
    <row r="395" spans="1:6" x14ac:dyDescent="0.2">
      <c r="A395" t="s">
        <v>8</v>
      </c>
      <c r="B395">
        <v>10652.388649923099</v>
      </c>
      <c r="C395">
        <v>123550.33</v>
      </c>
      <c r="D395">
        <v>11.819539492893201</v>
      </c>
      <c r="E395">
        <v>21</v>
      </c>
      <c r="F395" t="s">
        <v>31</v>
      </c>
    </row>
    <row r="396" spans="1:6" x14ac:dyDescent="0.2">
      <c r="A396" t="s">
        <v>9</v>
      </c>
      <c r="B396">
        <v>10958.436693842799</v>
      </c>
      <c r="C396">
        <v>77914.289999999994</v>
      </c>
      <c r="D396">
        <v>11.910358811982499</v>
      </c>
      <c r="E396">
        <v>21</v>
      </c>
      <c r="F396" t="s">
        <v>31</v>
      </c>
    </row>
    <row r="397" spans="1:6" x14ac:dyDescent="0.2">
      <c r="A397" t="s">
        <v>9</v>
      </c>
      <c r="B397">
        <v>2024.3168617712299</v>
      </c>
      <c r="C397">
        <v>195438.17</v>
      </c>
      <c r="D397">
        <v>1.2003145213604001</v>
      </c>
      <c r="E397">
        <v>22</v>
      </c>
      <c r="F397" t="s">
        <v>32</v>
      </c>
    </row>
    <row r="398" spans="1:6" x14ac:dyDescent="0.2">
      <c r="A398" t="s">
        <v>8</v>
      </c>
      <c r="B398">
        <v>2330.35102735092</v>
      </c>
      <c r="C398">
        <v>149578.28</v>
      </c>
      <c r="D398">
        <v>2.0089579200426702</v>
      </c>
      <c r="E398">
        <v>22</v>
      </c>
      <c r="F398" t="s">
        <v>32</v>
      </c>
    </row>
    <row r="399" spans="1:6" x14ac:dyDescent="0.2">
      <c r="A399" t="s">
        <v>6</v>
      </c>
      <c r="B399">
        <v>2659.3985182595302</v>
      </c>
      <c r="C399">
        <v>212566.82</v>
      </c>
      <c r="D399">
        <v>3.72108413534164</v>
      </c>
      <c r="E399">
        <v>22</v>
      </c>
      <c r="F399" t="s">
        <v>32</v>
      </c>
    </row>
    <row r="400" spans="1:6" x14ac:dyDescent="0.2">
      <c r="A400" t="s">
        <v>10</v>
      </c>
      <c r="B400">
        <v>2964.4405344647598</v>
      </c>
      <c r="C400">
        <v>489805.73</v>
      </c>
      <c r="D400">
        <v>4.5569924191315998</v>
      </c>
      <c r="E400">
        <v>22</v>
      </c>
      <c r="F400" t="s">
        <v>32</v>
      </c>
    </row>
    <row r="401" spans="1:6" x14ac:dyDescent="0.2">
      <c r="A401" t="s">
        <v>9</v>
      </c>
      <c r="B401">
        <v>3309.4937248610299</v>
      </c>
      <c r="C401">
        <v>362058.41</v>
      </c>
      <c r="D401">
        <v>5.33877888676325</v>
      </c>
      <c r="E401">
        <v>22</v>
      </c>
      <c r="F401" t="s">
        <v>32</v>
      </c>
    </row>
    <row r="402" spans="1:6" x14ac:dyDescent="0.2">
      <c r="A402" t="s">
        <v>8</v>
      </c>
      <c r="B402">
        <v>3615.5198029456401</v>
      </c>
      <c r="C402">
        <v>632895.06999999995</v>
      </c>
      <c r="D402">
        <v>6.0031435604572296</v>
      </c>
      <c r="E402">
        <v>22</v>
      </c>
      <c r="F402" t="s">
        <v>32</v>
      </c>
    </row>
    <row r="403" spans="1:6" x14ac:dyDescent="0.2">
      <c r="A403" t="s">
        <v>9</v>
      </c>
      <c r="B403">
        <v>3944.5744268288599</v>
      </c>
      <c r="C403">
        <v>74679.91</v>
      </c>
      <c r="D403">
        <v>6.8711072182337398</v>
      </c>
      <c r="E403">
        <v>22</v>
      </c>
      <c r="F403" t="s">
        <v>32</v>
      </c>
    </row>
    <row r="404" spans="1:6" x14ac:dyDescent="0.2">
      <c r="A404" t="s">
        <v>6</v>
      </c>
      <c r="B404">
        <v>4250.6076157240004</v>
      </c>
      <c r="C404">
        <v>322762.93</v>
      </c>
      <c r="D404">
        <v>7.3188331361293804</v>
      </c>
      <c r="E404">
        <v>22</v>
      </c>
      <c r="F404" t="s">
        <v>32</v>
      </c>
    </row>
    <row r="405" spans="1:6" x14ac:dyDescent="0.2">
      <c r="A405" t="s">
        <v>9</v>
      </c>
      <c r="B405">
        <v>4555.6494591614101</v>
      </c>
      <c r="C405">
        <v>717084.72</v>
      </c>
      <c r="D405">
        <v>7.4681177532355001</v>
      </c>
      <c r="E405">
        <v>22</v>
      </c>
      <c r="F405" t="s">
        <v>32</v>
      </c>
    </row>
    <row r="406" spans="1:6" x14ac:dyDescent="0.2">
      <c r="A406" t="s">
        <v>11</v>
      </c>
      <c r="B406">
        <v>4861.6766506090798</v>
      </c>
      <c r="C406">
        <v>1065505.3999999999</v>
      </c>
      <c r="D406">
        <v>7.7395614460786204</v>
      </c>
      <c r="E406">
        <v>22</v>
      </c>
      <c r="F406" t="s">
        <v>32</v>
      </c>
    </row>
    <row r="407" spans="1:6" x14ac:dyDescent="0.2">
      <c r="A407" t="s">
        <v>10</v>
      </c>
      <c r="B407">
        <v>5206.7292975243299</v>
      </c>
      <c r="C407">
        <v>582546.82999999996</v>
      </c>
      <c r="D407">
        <v>8.1288176512400305</v>
      </c>
      <c r="E407">
        <v>22</v>
      </c>
      <c r="F407" t="s">
        <v>32</v>
      </c>
    </row>
    <row r="408" spans="1:6" x14ac:dyDescent="0.2">
      <c r="A408" t="s">
        <v>8</v>
      </c>
      <c r="B408">
        <v>5535.7930815232303</v>
      </c>
      <c r="C408">
        <v>143706.10999999999</v>
      </c>
      <c r="D408">
        <v>8.9078380798975605</v>
      </c>
      <c r="E408">
        <v>22</v>
      </c>
      <c r="F408" t="s">
        <v>32</v>
      </c>
    </row>
    <row r="409" spans="1:6" x14ac:dyDescent="0.2">
      <c r="A409" t="s">
        <v>10</v>
      </c>
      <c r="B409">
        <v>5880.8218912921802</v>
      </c>
      <c r="C409">
        <v>238544.81</v>
      </c>
      <c r="D409">
        <v>9.2976035789330798</v>
      </c>
      <c r="E409">
        <v>22</v>
      </c>
      <c r="F409" t="s">
        <v>32</v>
      </c>
    </row>
    <row r="410" spans="1:6" x14ac:dyDescent="0.2">
      <c r="A410" t="s">
        <v>10</v>
      </c>
      <c r="B410">
        <v>6225.8885041942603</v>
      </c>
      <c r="C410">
        <v>84007</v>
      </c>
      <c r="D410">
        <v>9.3293358858108508</v>
      </c>
      <c r="E410">
        <v>22</v>
      </c>
      <c r="F410" t="s">
        <v>32</v>
      </c>
    </row>
    <row r="411" spans="1:6" x14ac:dyDescent="0.2">
      <c r="A411" t="s">
        <v>9</v>
      </c>
      <c r="B411">
        <v>1548.1366294306899</v>
      </c>
      <c r="C411">
        <v>217691.34</v>
      </c>
      <c r="D411">
        <v>0.71697871840794902</v>
      </c>
      <c r="E411">
        <v>23</v>
      </c>
      <c r="F411" t="s">
        <v>33</v>
      </c>
    </row>
    <row r="412" spans="1:6" x14ac:dyDescent="0.2">
      <c r="A412" t="s">
        <v>9</v>
      </c>
      <c r="B412">
        <v>1854.1623537651701</v>
      </c>
      <c r="C412">
        <v>815919.57</v>
      </c>
      <c r="D412">
        <v>0.78020909385681203</v>
      </c>
      <c r="E412">
        <v>23</v>
      </c>
      <c r="F412" t="s">
        <v>33</v>
      </c>
    </row>
    <row r="413" spans="1:6" x14ac:dyDescent="0.2">
      <c r="A413" t="s">
        <v>9</v>
      </c>
      <c r="B413">
        <v>2160.1889347633701</v>
      </c>
      <c r="C413">
        <v>808492.96</v>
      </c>
      <c r="D413">
        <v>0.89764954404830899</v>
      </c>
      <c r="E413">
        <v>23</v>
      </c>
      <c r="F413" t="s">
        <v>33</v>
      </c>
    </row>
    <row r="414" spans="1:6" x14ac:dyDescent="0.2">
      <c r="A414" t="s">
        <v>11</v>
      </c>
      <c r="B414">
        <v>2466.2147468978601</v>
      </c>
      <c r="C414">
        <v>1043318.72</v>
      </c>
      <c r="D414">
        <v>0.98799588637351998</v>
      </c>
      <c r="E414">
        <v>23</v>
      </c>
      <c r="F414" t="s">
        <v>33</v>
      </c>
    </row>
    <row r="415" spans="1:6" x14ac:dyDescent="0.2">
      <c r="A415" t="s">
        <v>9</v>
      </c>
      <c r="B415">
        <v>2772.2399762836599</v>
      </c>
      <c r="C415">
        <v>608194.57999999996</v>
      </c>
      <c r="D415">
        <v>1.259041370519</v>
      </c>
      <c r="E415">
        <v>23</v>
      </c>
      <c r="F415" t="s">
        <v>33</v>
      </c>
    </row>
    <row r="416" spans="1:6" x14ac:dyDescent="0.2">
      <c r="A416" t="s">
        <v>9</v>
      </c>
      <c r="B416">
        <v>3078.2661888877801</v>
      </c>
      <c r="C416">
        <v>702426.53</v>
      </c>
      <c r="D416">
        <v>2.2800053115367902</v>
      </c>
      <c r="E416">
        <v>23</v>
      </c>
      <c r="F416" t="s">
        <v>33</v>
      </c>
    </row>
    <row r="417" spans="1:6" x14ac:dyDescent="0.2">
      <c r="A417" t="s">
        <v>9</v>
      </c>
      <c r="B417">
        <v>3384.2910119191001</v>
      </c>
      <c r="C417">
        <v>417818.64</v>
      </c>
      <c r="D417">
        <v>3.5719884033680001</v>
      </c>
      <c r="E417">
        <v>23</v>
      </c>
      <c r="F417" t="s">
        <v>33</v>
      </c>
    </row>
    <row r="418" spans="1:6" x14ac:dyDescent="0.2">
      <c r="A418" t="s">
        <v>9</v>
      </c>
      <c r="B418">
        <v>3690.3161461784598</v>
      </c>
      <c r="C418">
        <v>429614.68</v>
      </c>
      <c r="D418">
        <v>4.4394991870403304</v>
      </c>
      <c r="E418">
        <v>23</v>
      </c>
      <c r="F418" t="s">
        <v>33</v>
      </c>
    </row>
    <row r="419" spans="1:6" x14ac:dyDescent="0.2">
      <c r="A419" t="s">
        <v>9</v>
      </c>
      <c r="B419">
        <v>3996.34313883912</v>
      </c>
      <c r="C419">
        <v>209284.7</v>
      </c>
      <c r="D419">
        <v>5.1308935439268701</v>
      </c>
      <c r="E419">
        <v>23</v>
      </c>
      <c r="F419" t="s">
        <v>33</v>
      </c>
    </row>
    <row r="420" spans="1:6" x14ac:dyDescent="0.2">
      <c r="A420" t="s">
        <v>9</v>
      </c>
      <c r="B420">
        <v>4302.36698301053</v>
      </c>
      <c r="C420">
        <v>237625.1</v>
      </c>
      <c r="D420">
        <v>5.7319597537994396</v>
      </c>
      <c r="E420">
        <v>23</v>
      </c>
      <c r="F420" t="s">
        <v>33</v>
      </c>
    </row>
    <row r="421" spans="1:6" x14ac:dyDescent="0.2">
      <c r="A421" t="s">
        <v>9</v>
      </c>
      <c r="B421">
        <v>4608.3915053786304</v>
      </c>
      <c r="C421">
        <v>145952.07999999999</v>
      </c>
      <c r="D421">
        <v>6.2110808606624603</v>
      </c>
      <c r="E421">
        <v>23</v>
      </c>
      <c r="F421" t="s">
        <v>33</v>
      </c>
    </row>
    <row r="422" spans="1:6" x14ac:dyDescent="0.2">
      <c r="A422" t="s">
        <v>9</v>
      </c>
      <c r="B422">
        <v>4914.4193078820499</v>
      </c>
      <c r="C422">
        <v>121810.47</v>
      </c>
      <c r="D422">
        <v>6.6631430204391497</v>
      </c>
      <c r="E422">
        <v>23</v>
      </c>
      <c r="F422" t="s">
        <v>33</v>
      </c>
    </row>
    <row r="423" spans="1:6" x14ac:dyDescent="0.2">
      <c r="A423" t="s">
        <v>9</v>
      </c>
      <c r="B423">
        <v>5220.4447391635103</v>
      </c>
      <c r="C423">
        <v>39096.21</v>
      </c>
      <c r="D423">
        <v>7.0519884542306297</v>
      </c>
      <c r="E423">
        <v>23</v>
      </c>
      <c r="F423" t="s">
        <v>33</v>
      </c>
    </row>
    <row r="424" spans="1:6" x14ac:dyDescent="0.2">
      <c r="A424" t="s">
        <v>9</v>
      </c>
      <c r="B424">
        <v>5526.4787545427698</v>
      </c>
      <c r="C424">
        <v>24868.32</v>
      </c>
      <c r="D424">
        <v>7.3776465530872297</v>
      </c>
      <c r="E424">
        <v>23</v>
      </c>
      <c r="F424" t="s">
        <v>33</v>
      </c>
    </row>
    <row r="425" spans="1:6" x14ac:dyDescent="0.2">
      <c r="A425" t="s">
        <v>9</v>
      </c>
      <c r="B425">
        <v>5832.5102345669402</v>
      </c>
      <c r="C425">
        <v>15713.22</v>
      </c>
      <c r="D425">
        <v>7.7124150033473997</v>
      </c>
      <c r="E425">
        <v>23</v>
      </c>
      <c r="F425" t="s">
        <v>33</v>
      </c>
    </row>
    <row r="426" spans="1:6" x14ac:dyDescent="0.2">
      <c r="A426" t="s">
        <v>9</v>
      </c>
      <c r="B426">
        <v>6138.5400389605702</v>
      </c>
      <c r="C426">
        <v>13777.03</v>
      </c>
      <c r="D426">
        <v>7.97942051049868</v>
      </c>
      <c r="E426">
        <v>23</v>
      </c>
      <c r="F426" t="s">
        <v>33</v>
      </c>
    </row>
    <row r="427" spans="1:6" x14ac:dyDescent="0.2">
      <c r="A427" t="s">
        <v>10</v>
      </c>
      <c r="B427">
        <v>1571.1658949085399</v>
      </c>
      <c r="C427">
        <v>186483.83</v>
      </c>
      <c r="D427">
        <v>0.83893310186068204</v>
      </c>
      <c r="E427">
        <v>24</v>
      </c>
      <c r="F427" t="s">
        <v>34</v>
      </c>
    </row>
    <row r="428" spans="1:6" x14ac:dyDescent="0.2">
      <c r="A428" t="s">
        <v>8</v>
      </c>
      <c r="B428">
        <v>1916.2209053946799</v>
      </c>
      <c r="C428">
        <v>237572.14</v>
      </c>
      <c r="D428">
        <v>0.80731301066080696</v>
      </c>
      <c r="E428">
        <v>24</v>
      </c>
      <c r="F428" t="s">
        <v>34</v>
      </c>
    </row>
    <row r="429" spans="1:6" x14ac:dyDescent="0.2">
      <c r="A429" t="s">
        <v>8</v>
      </c>
      <c r="B429">
        <v>2245.27228271383</v>
      </c>
      <c r="C429">
        <v>744024.49</v>
      </c>
      <c r="D429">
        <v>1.29066340284348</v>
      </c>
      <c r="E429">
        <v>24</v>
      </c>
      <c r="F429" t="s">
        <v>34</v>
      </c>
    </row>
    <row r="430" spans="1:6" x14ac:dyDescent="0.2">
      <c r="A430" t="s">
        <v>6</v>
      </c>
      <c r="B430">
        <v>2574.3263629020898</v>
      </c>
      <c r="C430">
        <v>744435.49</v>
      </c>
      <c r="D430">
        <v>1.95023023641904</v>
      </c>
      <c r="E430">
        <v>24</v>
      </c>
      <c r="F430" t="s">
        <v>34</v>
      </c>
    </row>
    <row r="431" spans="1:6" x14ac:dyDescent="0.2">
      <c r="A431" t="s">
        <v>10</v>
      </c>
      <c r="B431">
        <v>2879.3593504282198</v>
      </c>
      <c r="C431">
        <v>598738.1</v>
      </c>
      <c r="D431">
        <v>3.7527103777408599</v>
      </c>
      <c r="E431">
        <v>24</v>
      </c>
      <c r="F431" t="s">
        <v>34</v>
      </c>
    </row>
    <row r="432" spans="1:6" x14ac:dyDescent="0.2">
      <c r="A432" t="s">
        <v>11</v>
      </c>
      <c r="B432">
        <v>3224.41954840784</v>
      </c>
      <c r="C432">
        <v>1033836.87</v>
      </c>
      <c r="D432">
        <v>4.7377503291448004</v>
      </c>
      <c r="E432">
        <v>24</v>
      </c>
      <c r="F432" t="s">
        <v>34</v>
      </c>
    </row>
    <row r="433" spans="1:6" x14ac:dyDescent="0.2">
      <c r="A433" t="s">
        <v>9</v>
      </c>
      <c r="B433">
        <v>3530.44725658478</v>
      </c>
      <c r="C433">
        <v>958245.13</v>
      </c>
      <c r="D433">
        <v>5.0721379712899504</v>
      </c>
      <c r="E433">
        <v>24</v>
      </c>
      <c r="F433" t="s">
        <v>34</v>
      </c>
    </row>
    <row r="434" spans="1:6" x14ac:dyDescent="0.2">
      <c r="A434" t="s">
        <v>8</v>
      </c>
      <c r="B434">
        <v>3914.5202350274299</v>
      </c>
      <c r="C434">
        <v>789255.5</v>
      </c>
      <c r="D434">
        <v>5.6415601447900103</v>
      </c>
      <c r="E434">
        <v>25</v>
      </c>
      <c r="F434" t="s">
        <v>35</v>
      </c>
    </row>
    <row r="435" spans="1:6" x14ac:dyDescent="0.2">
      <c r="A435" t="s">
        <v>6</v>
      </c>
      <c r="B435">
        <v>4243.5711976250204</v>
      </c>
      <c r="C435">
        <v>137288.15</v>
      </c>
      <c r="D435">
        <v>6.9298931951999698</v>
      </c>
      <c r="E435">
        <v>25</v>
      </c>
      <c r="F435" t="s">
        <v>35</v>
      </c>
    </row>
    <row r="436" spans="1:6" x14ac:dyDescent="0.2">
      <c r="A436" t="s">
        <v>9</v>
      </c>
      <c r="B436">
        <v>4548.6184594415599</v>
      </c>
      <c r="C436">
        <v>426240.8</v>
      </c>
      <c r="D436">
        <v>7.1107762113889104</v>
      </c>
      <c r="E436">
        <v>25</v>
      </c>
      <c r="F436" t="s">
        <v>35</v>
      </c>
    </row>
    <row r="437" spans="1:6" x14ac:dyDescent="0.2">
      <c r="A437" t="s">
        <v>9</v>
      </c>
      <c r="B437">
        <v>4854.6459372770696</v>
      </c>
      <c r="C437">
        <v>492343.89</v>
      </c>
      <c r="D437">
        <v>7.5586016451994604</v>
      </c>
      <c r="E437">
        <v>25</v>
      </c>
      <c r="F437" t="s">
        <v>35</v>
      </c>
    </row>
    <row r="438" spans="1:6" x14ac:dyDescent="0.2">
      <c r="A438" t="s">
        <v>6</v>
      </c>
      <c r="B438">
        <v>5160.6704107711603</v>
      </c>
      <c r="C438">
        <v>161870.82999999999</v>
      </c>
      <c r="D438">
        <v>8.1288176512400305</v>
      </c>
      <c r="E438">
        <v>25</v>
      </c>
      <c r="F438" t="s">
        <v>35</v>
      </c>
    </row>
    <row r="439" spans="1:6" x14ac:dyDescent="0.2">
      <c r="A439" t="s">
        <v>11</v>
      </c>
      <c r="B439">
        <v>5465.7193874302602</v>
      </c>
      <c r="C439">
        <v>1028075.1</v>
      </c>
      <c r="D439">
        <v>8.1288176512400305</v>
      </c>
      <c r="E439">
        <v>25</v>
      </c>
      <c r="F439" t="s">
        <v>35</v>
      </c>
    </row>
    <row r="440" spans="1:6" x14ac:dyDescent="0.2">
      <c r="A440" t="s">
        <v>11</v>
      </c>
      <c r="B440">
        <v>4469.5826650897498</v>
      </c>
      <c r="C440">
        <v>922577.3</v>
      </c>
      <c r="D440">
        <v>6.8078124936103803</v>
      </c>
      <c r="E440">
        <v>26</v>
      </c>
      <c r="F440" t="s">
        <v>36</v>
      </c>
    </row>
    <row r="441" spans="1:6" x14ac:dyDescent="0.2">
      <c r="A441" t="s">
        <v>6</v>
      </c>
      <c r="B441">
        <v>4774.6233420795097</v>
      </c>
      <c r="C441">
        <v>556704.04</v>
      </c>
      <c r="D441">
        <v>7.1424336369514503</v>
      </c>
      <c r="E441">
        <v>26</v>
      </c>
      <c r="F441" t="s">
        <v>36</v>
      </c>
    </row>
    <row r="442" spans="1:6" x14ac:dyDescent="0.2">
      <c r="A442" t="s">
        <v>9</v>
      </c>
      <c r="B442">
        <v>5080.6463264170397</v>
      </c>
      <c r="C442">
        <v>526615.4</v>
      </c>
      <c r="D442">
        <v>7.53146161195437</v>
      </c>
      <c r="E442">
        <v>26</v>
      </c>
      <c r="F442" t="s">
        <v>36</v>
      </c>
    </row>
    <row r="443" spans="1:6" x14ac:dyDescent="0.2">
      <c r="A443" t="s">
        <v>6</v>
      </c>
      <c r="B443">
        <v>5385.6906114530202</v>
      </c>
      <c r="C443">
        <v>343339.51</v>
      </c>
      <c r="D443">
        <v>7.9477374529520697</v>
      </c>
      <c r="E443">
        <v>26</v>
      </c>
      <c r="F443" t="s">
        <v>36</v>
      </c>
    </row>
    <row r="444" spans="1:6" x14ac:dyDescent="0.2">
      <c r="A444" t="s">
        <v>10</v>
      </c>
      <c r="B444">
        <v>5730.7470364027804</v>
      </c>
      <c r="C444">
        <v>624981.06999999995</v>
      </c>
      <c r="D444">
        <v>8.1288176512400305</v>
      </c>
      <c r="E444">
        <v>26</v>
      </c>
      <c r="F444" t="s">
        <v>36</v>
      </c>
    </row>
    <row r="445" spans="1:6" x14ac:dyDescent="0.2">
      <c r="A445" t="s">
        <v>9</v>
      </c>
      <c r="B445">
        <v>6036.77948916887</v>
      </c>
      <c r="C445">
        <v>233187.89</v>
      </c>
      <c r="D445">
        <v>8.4276596522013296</v>
      </c>
      <c r="E445">
        <v>26</v>
      </c>
      <c r="F445" t="s">
        <v>36</v>
      </c>
    </row>
    <row r="446" spans="1:6" x14ac:dyDescent="0.2">
      <c r="A446" t="s">
        <v>8</v>
      </c>
      <c r="B446">
        <v>6365.8354651743703</v>
      </c>
      <c r="C446">
        <v>426955.03</v>
      </c>
      <c r="D446">
        <v>8.8806360796769503</v>
      </c>
      <c r="E446">
        <v>26</v>
      </c>
      <c r="F446" t="s">
        <v>36</v>
      </c>
    </row>
    <row r="447" spans="1:6" x14ac:dyDescent="0.2">
      <c r="A447" t="s">
        <v>9</v>
      </c>
      <c r="B447">
        <v>6671.8614487546101</v>
      </c>
      <c r="C447">
        <v>320217.23</v>
      </c>
      <c r="D447">
        <v>9.1797867949485799</v>
      </c>
      <c r="E447">
        <v>26</v>
      </c>
      <c r="F447" t="s">
        <v>36</v>
      </c>
    </row>
    <row r="448" spans="1:6" x14ac:dyDescent="0.2">
      <c r="A448" t="s">
        <v>8</v>
      </c>
      <c r="B448">
        <v>7000.9130007469603</v>
      </c>
      <c r="C448">
        <v>144923.49</v>
      </c>
      <c r="D448">
        <v>9.6601674453099609</v>
      </c>
      <c r="E448">
        <v>26</v>
      </c>
      <c r="F448" t="s">
        <v>36</v>
      </c>
    </row>
    <row r="449" spans="1:6" x14ac:dyDescent="0.2">
      <c r="A449" t="s">
        <v>8</v>
      </c>
      <c r="B449">
        <v>3302.4629137166799</v>
      </c>
      <c r="C449">
        <v>757180.32</v>
      </c>
      <c r="D449">
        <v>4.1683786526997899</v>
      </c>
      <c r="E449">
        <v>27</v>
      </c>
      <c r="F449" t="s">
        <v>37</v>
      </c>
    </row>
    <row r="450" spans="1:6" x14ac:dyDescent="0.2">
      <c r="A450" t="s">
        <v>10</v>
      </c>
      <c r="B450">
        <v>3631.5168809926599</v>
      </c>
      <c r="C450">
        <v>506911.79</v>
      </c>
      <c r="D450">
        <v>5.4879047031879402</v>
      </c>
      <c r="E450">
        <v>27</v>
      </c>
      <c r="F450" t="s">
        <v>37</v>
      </c>
    </row>
    <row r="451" spans="1:6" x14ac:dyDescent="0.2">
      <c r="A451" t="s">
        <v>11</v>
      </c>
      <c r="B451">
        <v>3976.5644544789202</v>
      </c>
      <c r="C451">
        <v>898455.92</v>
      </c>
      <c r="D451">
        <v>5.7590797618706997</v>
      </c>
      <c r="E451">
        <v>27</v>
      </c>
      <c r="F451" t="s">
        <v>37</v>
      </c>
    </row>
    <row r="452" spans="1:6" x14ac:dyDescent="0.2">
      <c r="A452" t="s">
        <v>8</v>
      </c>
      <c r="B452">
        <v>4305.6189178889499</v>
      </c>
      <c r="C452">
        <v>726941.62</v>
      </c>
      <c r="D452">
        <v>7.0203313028494501</v>
      </c>
      <c r="E452">
        <v>27</v>
      </c>
      <c r="F452" t="s">
        <v>37</v>
      </c>
    </row>
    <row r="453" spans="1:6" x14ac:dyDescent="0.2">
      <c r="A453" t="s">
        <v>9</v>
      </c>
      <c r="B453">
        <v>4611.6446733823204</v>
      </c>
      <c r="C453">
        <v>277372.46000000002</v>
      </c>
      <c r="D453">
        <v>7.2871672606150302</v>
      </c>
      <c r="E453">
        <v>27</v>
      </c>
      <c r="F453" t="s">
        <v>37</v>
      </c>
    </row>
    <row r="454" spans="1:6" x14ac:dyDescent="0.2">
      <c r="A454" t="s">
        <v>10</v>
      </c>
      <c r="B454">
        <v>2588.3552112021998</v>
      </c>
      <c r="C454">
        <v>237302.1</v>
      </c>
      <c r="D454">
        <v>1.1686931864102701</v>
      </c>
      <c r="E454">
        <v>28</v>
      </c>
      <c r="F454" t="s">
        <v>38</v>
      </c>
    </row>
    <row r="455" spans="1:6" x14ac:dyDescent="0.2">
      <c r="A455" t="s">
        <v>10</v>
      </c>
      <c r="B455">
        <v>2933.40292796622</v>
      </c>
      <c r="C455">
        <v>207311.95</v>
      </c>
      <c r="D455">
        <v>1.95023023641904</v>
      </c>
      <c r="E455">
        <v>28</v>
      </c>
      <c r="F455" t="s">
        <v>38</v>
      </c>
    </row>
    <row r="456" spans="1:6" x14ac:dyDescent="0.2">
      <c r="A456" t="s">
        <v>8</v>
      </c>
      <c r="B456">
        <v>3278.452666139</v>
      </c>
      <c r="C456">
        <v>151799.39000000001</v>
      </c>
      <c r="D456">
        <v>3.3009430622736602</v>
      </c>
      <c r="E456">
        <v>28</v>
      </c>
      <c r="F456" t="s">
        <v>38</v>
      </c>
    </row>
    <row r="457" spans="1:6" x14ac:dyDescent="0.2">
      <c r="A457" t="s">
        <v>10</v>
      </c>
      <c r="B457">
        <v>3607.5061197709001</v>
      </c>
      <c r="C457">
        <v>448165.6</v>
      </c>
      <c r="D457">
        <v>4.8010087624867799</v>
      </c>
      <c r="E457">
        <v>28</v>
      </c>
      <c r="F457" t="s">
        <v>38</v>
      </c>
    </row>
    <row r="458" spans="1:6" x14ac:dyDescent="0.2">
      <c r="A458" t="s">
        <v>8</v>
      </c>
      <c r="B458">
        <v>3952.5527954918598</v>
      </c>
      <c r="C458">
        <v>425288.12</v>
      </c>
      <c r="D458">
        <v>5.5782960291385599</v>
      </c>
      <c r="E458">
        <v>28</v>
      </c>
      <c r="F458" t="s">
        <v>38</v>
      </c>
    </row>
    <row r="459" spans="1:6" x14ac:dyDescent="0.2">
      <c r="A459" t="s">
        <v>10</v>
      </c>
      <c r="B459">
        <v>4281.6086843088997</v>
      </c>
      <c r="C459">
        <v>307481.3</v>
      </c>
      <c r="D459">
        <v>6.4823198870499903</v>
      </c>
      <c r="E459">
        <v>28</v>
      </c>
      <c r="F459" t="s">
        <v>38</v>
      </c>
    </row>
    <row r="460" spans="1:6" x14ac:dyDescent="0.2">
      <c r="A460" t="s">
        <v>9</v>
      </c>
      <c r="B460">
        <v>4626.6629754190999</v>
      </c>
      <c r="C460">
        <v>272702.43</v>
      </c>
      <c r="D460">
        <v>6.83945900357564</v>
      </c>
      <c r="E460">
        <v>28</v>
      </c>
      <c r="F460" t="s">
        <v>38</v>
      </c>
    </row>
    <row r="461" spans="1:6" x14ac:dyDescent="0.2">
      <c r="A461" t="s">
        <v>9</v>
      </c>
      <c r="B461">
        <v>4932.69720420666</v>
      </c>
      <c r="C461">
        <v>526107.71</v>
      </c>
      <c r="D461">
        <v>7.3504987692515096</v>
      </c>
      <c r="E461">
        <v>28</v>
      </c>
      <c r="F461" t="s">
        <v>38</v>
      </c>
    </row>
    <row r="462" spans="1:6" x14ac:dyDescent="0.2">
      <c r="A462" t="s">
        <v>11</v>
      </c>
      <c r="B462">
        <v>5238.7210516055902</v>
      </c>
      <c r="C462">
        <v>889132.67</v>
      </c>
      <c r="D462">
        <v>7.7124150033473997</v>
      </c>
      <c r="E462">
        <v>28</v>
      </c>
      <c r="F462" t="s">
        <v>38</v>
      </c>
    </row>
    <row r="463" spans="1:6" x14ac:dyDescent="0.2">
      <c r="A463" t="s">
        <v>8</v>
      </c>
      <c r="B463">
        <v>5567.7762478087398</v>
      </c>
      <c r="C463">
        <v>205970.82</v>
      </c>
      <c r="D463">
        <v>8.5816215947945906</v>
      </c>
      <c r="E463">
        <v>28</v>
      </c>
      <c r="F463" t="s">
        <v>38</v>
      </c>
    </row>
    <row r="464" spans="1:6" x14ac:dyDescent="0.2">
      <c r="A464" t="s">
        <v>8</v>
      </c>
      <c r="B464">
        <v>1311.19319763466</v>
      </c>
      <c r="C464">
        <v>326727.02</v>
      </c>
      <c r="D464">
        <v>0.87054953532218904</v>
      </c>
      <c r="E464">
        <v>29</v>
      </c>
      <c r="F464" t="s">
        <v>39</v>
      </c>
    </row>
    <row r="465" spans="1:6" x14ac:dyDescent="0.2">
      <c r="A465" t="s">
        <v>6</v>
      </c>
      <c r="B465">
        <v>1640.24797608261</v>
      </c>
      <c r="C465">
        <v>121334.66</v>
      </c>
      <c r="D465">
        <v>1.0512361283779099</v>
      </c>
      <c r="E465">
        <v>29</v>
      </c>
      <c r="F465" t="s">
        <v>39</v>
      </c>
    </row>
    <row r="466" spans="1:6" x14ac:dyDescent="0.2">
      <c r="A466" t="s">
        <v>10</v>
      </c>
      <c r="B466">
        <v>1945.28904436019</v>
      </c>
      <c r="C466">
        <v>372823.16</v>
      </c>
      <c r="D466">
        <v>1.29066340284348</v>
      </c>
      <c r="E466">
        <v>29</v>
      </c>
      <c r="F466" t="s">
        <v>39</v>
      </c>
    </row>
    <row r="467" spans="1:6" x14ac:dyDescent="0.2">
      <c r="A467" t="s">
        <v>8</v>
      </c>
      <c r="B467">
        <v>2290.3400491468301</v>
      </c>
      <c r="C467">
        <v>581319.43999999994</v>
      </c>
      <c r="D467">
        <v>1.32228308674494</v>
      </c>
      <c r="E467">
        <v>29</v>
      </c>
      <c r="F467" t="s">
        <v>39</v>
      </c>
    </row>
    <row r="468" spans="1:6" x14ac:dyDescent="0.2">
      <c r="A468" t="s">
        <v>6</v>
      </c>
      <c r="B468">
        <v>2619.3864572029402</v>
      </c>
      <c r="C468">
        <v>195563.97</v>
      </c>
      <c r="D468">
        <v>3.14734969493548</v>
      </c>
      <c r="E468">
        <v>29</v>
      </c>
      <c r="F468" t="s">
        <v>39</v>
      </c>
    </row>
    <row r="469" spans="1:6" x14ac:dyDescent="0.2">
      <c r="A469" t="s">
        <v>9</v>
      </c>
      <c r="B469">
        <v>2924.4117267973102</v>
      </c>
      <c r="C469">
        <v>250657.61</v>
      </c>
      <c r="D469">
        <v>3.7798186774730702</v>
      </c>
      <c r="E469">
        <v>29</v>
      </c>
      <c r="F469" t="s">
        <v>39</v>
      </c>
    </row>
    <row r="470" spans="1:6" x14ac:dyDescent="0.2">
      <c r="A470" t="s">
        <v>10</v>
      </c>
      <c r="B470">
        <v>3230.4547784807201</v>
      </c>
      <c r="C470">
        <v>526048.38</v>
      </c>
      <c r="D470">
        <v>4.7377503291448004</v>
      </c>
      <c r="E470">
        <v>29</v>
      </c>
      <c r="F470" t="s">
        <v>39</v>
      </c>
    </row>
    <row r="471" spans="1:6" x14ac:dyDescent="0.2">
      <c r="A471" t="s">
        <v>10</v>
      </c>
      <c r="B471">
        <v>3575.5088660205001</v>
      </c>
      <c r="C471">
        <v>666838.05000000005</v>
      </c>
      <c r="D471">
        <v>5.8223578448772404</v>
      </c>
      <c r="E471">
        <v>29</v>
      </c>
      <c r="F471" t="s">
        <v>39</v>
      </c>
    </row>
    <row r="472" spans="1:6" x14ac:dyDescent="0.2">
      <c r="A472" t="s">
        <v>10</v>
      </c>
      <c r="B472">
        <v>3920.56024098133</v>
      </c>
      <c r="C472">
        <v>788078.48</v>
      </c>
      <c r="D472">
        <v>6.2110808606624603</v>
      </c>
      <c r="E472">
        <v>29</v>
      </c>
      <c r="F472" t="s">
        <v>39</v>
      </c>
    </row>
    <row r="473" spans="1:6" x14ac:dyDescent="0.2">
      <c r="A473" t="s">
        <v>11</v>
      </c>
      <c r="B473">
        <v>4265.6073940568904</v>
      </c>
      <c r="C473">
        <v>876362.34</v>
      </c>
      <c r="D473">
        <v>6.59985890345573</v>
      </c>
      <c r="E473">
        <v>29</v>
      </c>
      <c r="F473" t="s">
        <v>39</v>
      </c>
    </row>
    <row r="474" spans="1:6" x14ac:dyDescent="0.2">
      <c r="A474" t="s">
        <v>9</v>
      </c>
      <c r="B474">
        <v>4571.6386838185599</v>
      </c>
      <c r="C474">
        <v>625977.04</v>
      </c>
      <c r="D474">
        <v>7.1107762113889104</v>
      </c>
      <c r="E474">
        <v>29</v>
      </c>
      <c r="F474" t="s">
        <v>39</v>
      </c>
    </row>
    <row r="475" spans="1:6" x14ac:dyDescent="0.2">
      <c r="A475" t="s">
        <v>8</v>
      </c>
      <c r="B475">
        <v>4900.6964613805703</v>
      </c>
      <c r="C475">
        <v>638376.71</v>
      </c>
      <c r="D475">
        <v>7.7667061543146803</v>
      </c>
      <c r="E475">
        <v>29</v>
      </c>
      <c r="F475" t="s">
        <v>39</v>
      </c>
    </row>
    <row r="476" spans="1:6" x14ac:dyDescent="0.2">
      <c r="A476" t="s">
        <v>6</v>
      </c>
      <c r="B476">
        <v>5205.7534723434301</v>
      </c>
      <c r="C476">
        <v>409424</v>
      </c>
      <c r="D476">
        <v>8.3370868519624093</v>
      </c>
      <c r="E476">
        <v>29</v>
      </c>
      <c r="F476" t="s">
        <v>39</v>
      </c>
    </row>
    <row r="477" spans="1:6" x14ac:dyDescent="0.2">
      <c r="A477" t="s">
        <v>6</v>
      </c>
      <c r="B477">
        <v>5510.7623958475597</v>
      </c>
      <c r="C477">
        <v>463888.35</v>
      </c>
      <c r="D477">
        <v>8.2827520942370096</v>
      </c>
      <c r="E477">
        <v>29</v>
      </c>
      <c r="F477" t="s">
        <v>39</v>
      </c>
    </row>
    <row r="478" spans="1:6" x14ac:dyDescent="0.2">
      <c r="A478" t="s">
        <v>9</v>
      </c>
      <c r="B478">
        <v>5816.8084176221901</v>
      </c>
      <c r="C478">
        <v>607428.68999999994</v>
      </c>
      <c r="D478">
        <v>8.6087896442095406</v>
      </c>
      <c r="E478">
        <v>29</v>
      </c>
      <c r="F478" t="s">
        <v>39</v>
      </c>
    </row>
    <row r="479" spans="1:6" x14ac:dyDescent="0.2">
      <c r="A479" t="s">
        <v>11</v>
      </c>
      <c r="B479">
        <v>5715.73413995803</v>
      </c>
      <c r="C479">
        <v>856664.04</v>
      </c>
      <c r="D479">
        <v>8.4593535021622994</v>
      </c>
      <c r="E479">
        <v>30</v>
      </c>
      <c r="F479" t="s">
        <v>40</v>
      </c>
    </row>
    <row r="480" spans="1:6" x14ac:dyDescent="0.2">
      <c r="A480" t="s">
        <v>6</v>
      </c>
      <c r="B480">
        <v>6020.7892634214004</v>
      </c>
      <c r="C480">
        <v>171825.29</v>
      </c>
      <c r="D480">
        <v>8.6404895440419498</v>
      </c>
      <c r="E480">
        <v>30</v>
      </c>
      <c r="F480" t="s">
        <v>40</v>
      </c>
    </row>
    <row r="481" spans="1:6" x14ac:dyDescent="0.2">
      <c r="A481" t="s">
        <v>8</v>
      </c>
      <c r="B481">
        <v>6349.8457518443702</v>
      </c>
      <c r="C481">
        <v>332229.86</v>
      </c>
      <c r="D481">
        <v>9.0891361212412498</v>
      </c>
      <c r="E481">
        <v>30</v>
      </c>
      <c r="F481" t="s">
        <v>40</v>
      </c>
    </row>
    <row r="482" spans="1:6" x14ac:dyDescent="0.2">
      <c r="A482" t="s">
        <v>9</v>
      </c>
      <c r="B482">
        <v>6655.8699922099804</v>
      </c>
      <c r="C482">
        <v>151729.20000000001</v>
      </c>
      <c r="D482">
        <v>9.3610533849080397</v>
      </c>
      <c r="E482">
        <v>30</v>
      </c>
      <c r="F482" t="s">
        <v>40</v>
      </c>
    </row>
    <row r="483" spans="1:6" x14ac:dyDescent="0.2">
      <c r="A483" t="s">
        <v>8</v>
      </c>
      <c r="B483">
        <v>6984.9089760127299</v>
      </c>
      <c r="C483">
        <v>110236.18</v>
      </c>
      <c r="D483">
        <v>9.7190961773872395</v>
      </c>
      <c r="E483">
        <v>30</v>
      </c>
      <c r="F483" t="s">
        <v>40</v>
      </c>
    </row>
    <row r="484" spans="1:6" x14ac:dyDescent="0.2">
      <c r="A484" t="s">
        <v>9</v>
      </c>
      <c r="B484">
        <v>7290.9448144253201</v>
      </c>
      <c r="C484">
        <v>171695.91</v>
      </c>
      <c r="D484">
        <v>9.9594076609293598</v>
      </c>
      <c r="E484">
        <v>30</v>
      </c>
      <c r="F484" t="s">
        <v>40</v>
      </c>
    </row>
    <row r="485" spans="1:6" x14ac:dyDescent="0.2">
      <c r="A485" t="s">
        <v>9</v>
      </c>
      <c r="B485">
        <v>2611.37838806745</v>
      </c>
      <c r="C485">
        <v>380166.83</v>
      </c>
      <c r="D485">
        <v>2.0405815020879099</v>
      </c>
      <c r="E485">
        <v>31</v>
      </c>
      <c r="F485" t="s">
        <v>41</v>
      </c>
    </row>
    <row r="486" spans="1:6" x14ac:dyDescent="0.2">
      <c r="A486" t="s">
        <v>11</v>
      </c>
      <c r="B486">
        <v>2917.4061598983999</v>
      </c>
      <c r="C486">
        <v>826187.21</v>
      </c>
      <c r="D486">
        <v>3.1789744869550098</v>
      </c>
      <c r="E486">
        <v>31</v>
      </c>
      <c r="F486" t="s">
        <v>41</v>
      </c>
    </row>
    <row r="487" spans="1:6" x14ac:dyDescent="0.2">
      <c r="A487" t="s">
        <v>6</v>
      </c>
      <c r="B487">
        <v>3222.4449745501101</v>
      </c>
      <c r="C487">
        <v>485097.9</v>
      </c>
      <c r="D487">
        <v>3.5719884033680001</v>
      </c>
      <c r="E487">
        <v>31</v>
      </c>
      <c r="F487" t="s">
        <v>41</v>
      </c>
    </row>
    <row r="488" spans="1:6" x14ac:dyDescent="0.2">
      <c r="A488" t="s">
        <v>10</v>
      </c>
      <c r="B488">
        <v>3567.4943774202702</v>
      </c>
      <c r="C488">
        <v>232319.11</v>
      </c>
      <c r="D488">
        <v>4.5298796192487103</v>
      </c>
      <c r="E488">
        <v>31</v>
      </c>
      <c r="F488" t="s">
        <v>41</v>
      </c>
    </row>
    <row r="489" spans="1:6" x14ac:dyDescent="0.2">
      <c r="A489" t="s">
        <v>6</v>
      </c>
      <c r="B489">
        <v>1970.24643382763</v>
      </c>
      <c r="C489">
        <v>133626.59</v>
      </c>
      <c r="D489">
        <v>0.80731301066080696</v>
      </c>
      <c r="E489">
        <v>32</v>
      </c>
      <c r="F489" t="s">
        <v>42</v>
      </c>
    </row>
    <row r="490" spans="1:6" x14ac:dyDescent="0.2">
      <c r="A490" t="s">
        <v>6</v>
      </c>
      <c r="B490">
        <v>2275.2877079208802</v>
      </c>
      <c r="C490">
        <v>199430.28</v>
      </c>
      <c r="D490">
        <v>0.87054953532218904</v>
      </c>
      <c r="E490">
        <v>32</v>
      </c>
      <c r="F490" t="s">
        <v>42</v>
      </c>
    </row>
    <row r="491" spans="1:6" x14ac:dyDescent="0.2">
      <c r="A491" t="s">
        <v>9</v>
      </c>
      <c r="B491">
        <v>2580.3332958371402</v>
      </c>
      <c r="C491">
        <v>180058.37</v>
      </c>
      <c r="D491">
        <v>0.92926780339876802</v>
      </c>
      <c r="E491">
        <v>32</v>
      </c>
      <c r="F491" t="s">
        <v>42</v>
      </c>
    </row>
    <row r="492" spans="1:6" x14ac:dyDescent="0.2">
      <c r="A492" t="s">
        <v>9</v>
      </c>
      <c r="B492">
        <v>2886.3652748647301</v>
      </c>
      <c r="C492">
        <v>183595.73</v>
      </c>
      <c r="D492">
        <v>1.1686931864102701</v>
      </c>
      <c r="E492">
        <v>32</v>
      </c>
      <c r="F492" t="s">
        <v>42</v>
      </c>
    </row>
    <row r="493" spans="1:6" x14ac:dyDescent="0.2">
      <c r="A493" t="s">
        <v>10</v>
      </c>
      <c r="B493">
        <v>3192.3910434436698</v>
      </c>
      <c r="C493">
        <v>209433.60000000001</v>
      </c>
      <c r="D493">
        <v>1.98185426152547</v>
      </c>
      <c r="E493">
        <v>32</v>
      </c>
      <c r="F493" t="s">
        <v>42</v>
      </c>
    </row>
    <row r="494" spans="1:6" x14ac:dyDescent="0.2">
      <c r="A494" t="s">
        <v>11</v>
      </c>
      <c r="B494">
        <v>3537.4692403715198</v>
      </c>
      <c r="C494">
        <v>826149.66</v>
      </c>
      <c r="D494">
        <v>6.0573838130315103</v>
      </c>
      <c r="E494">
        <v>32</v>
      </c>
      <c r="F494" t="s">
        <v>42</v>
      </c>
    </row>
    <row r="495" spans="1:6" x14ac:dyDescent="0.2">
      <c r="A495" t="s">
        <v>6</v>
      </c>
      <c r="B495">
        <v>3842.51511133448</v>
      </c>
      <c r="C495">
        <v>670012.49</v>
      </c>
      <c r="D495">
        <v>6.17943720377286</v>
      </c>
      <c r="E495">
        <v>32</v>
      </c>
      <c r="F495" t="s">
        <v>42</v>
      </c>
    </row>
    <row r="496" spans="1:6" x14ac:dyDescent="0.2">
      <c r="A496" t="s">
        <v>8</v>
      </c>
      <c r="B496">
        <v>4171.5694806991796</v>
      </c>
      <c r="C496">
        <v>534956.43000000005</v>
      </c>
      <c r="D496">
        <v>7.0791212037881204</v>
      </c>
      <c r="E496">
        <v>32</v>
      </c>
      <c r="F496" t="s">
        <v>42</v>
      </c>
    </row>
    <row r="497" spans="1:6" x14ac:dyDescent="0.2">
      <c r="A497" t="s">
        <v>8</v>
      </c>
      <c r="B497">
        <v>4500.6209922042699</v>
      </c>
      <c r="C497">
        <v>362125.77</v>
      </c>
      <c r="D497">
        <v>7.6807436362584403</v>
      </c>
      <c r="E497">
        <v>32</v>
      </c>
      <c r="F497" t="s">
        <v>42</v>
      </c>
    </row>
    <row r="498" spans="1:6" x14ac:dyDescent="0.2">
      <c r="A498" t="s">
        <v>6</v>
      </c>
      <c r="B498">
        <v>4805.6272482642298</v>
      </c>
      <c r="C498">
        <v>323206.55</v>
      </c>
      <c r="D498">
        <v>6.5410850778897602</v>
      </c>
      <c r="E498">
        <v>32</v>
      </c>
      <c r="F498" t="s">
        <v>42</v>
      </c>
    </row>
    <row r="499" spans="1:6" x14ac:dyDescent="0.2">
      <c r="A499" t="s">
        <v>10</v>
      </c>
      <c r="B499">
        <v>5150.6882445537003</v>
      </c>
      <c r="C499">
        <v>100267.39</v>
      </c>
      <c r="D499">
        <v>7.0519884542306297</v>
      </c>
      <c r="E499">
        <v>32</v>
      </c>
      <c r="F499" t="s">
        <v>42</v>
      </c>
    </row>
    <row r="500" spans="1:6" x14ac:dyDescent="0.2">
      <c r="A500" t="s">
        <v>8</v>
      </c>
      <c r="B500">
        <v>2564.34095153219</v>
      </c>
      <c r="C500">
        <v>256038.25</v>
      </c>
      <c r="D500">
        <v>0.98799588637351998</v>
      </c>
      <c r="E500">
        <v>33</v>
      </c>
      <c r="F500" t="s">
        <v>43</v>
      </c>
    </row>
    <row r="501" spans="1:6" x14ac:dyDescent="0.2">
      <c r="A501" t="s">
        <v>10</v>
      </c>
      <c r="B501">
        <v>2893.4009443588802</v>
      </c>
      <c r="C501">
        <v>118525.8</v>
      </c>
      <c r="D501">
        <v>1.8011496201833099</v>
      </c>
      <c r="E501">
        <v>33</v>
      </c>
      <c r="F501" t="s">
        <v>43</v>
      </c>
    </row>
    <row r="502" spans="1:6" x14ac:dyDescent="0.2">
      <c r="A502" t="s">
        <v>9</v>
      </c>
      <c r="B502">
        <v>3238.4400808180499</v>
      </c>
      <c r="C502">
        <v>65850.460000000006</v>
      </c>
      <c r="D502">
        <v>3.0570046281496701</v>
      </c>
      <c r="E502">
        <v>33</v>
      </c>
      <c r="F502" t="s">
        <v>43</v>
      </c>
    </row>
    <row r="503" spans="1:6" x14ac:dyDescent="0.2">
      <c r="A503" t="s">
        <v>10</v>
      </c>
      <c r="B503">
        <v>3544.4713699879699</v>
      </c>
      <c r="C503">
        <v>483102.66</v>
      </c>
      <c r="D503">
        <v>4.1683786526997899</v>
      </c>
      <c r="E503">
        <v>33</v>
      </c>
      <c r="F503" t="s">
        <v>43</v>
      </c>
    </row>
    <row r="504" spans="1:6" x14ac:dyDescent="0.2">
      <c r="A504" t="s">
        <v>8</v>
      </c>
      <c r="B504">
        <v>3889.52365567166</v>
      </c>
      <c r="C504">
        <v>144928.48000000001</v>
      </c>
      <c r="D504">
        <v>4.9817599689642602</v>
      </c>
      <c r="E504">
        <v>33</v>
      </c>
      <c r="F504" t="s">
        <v>43</v>
      </c>
    </row>
    <row r="505" spans="1:6" x14ac:dyDescent="0.2">
      <c r="A505" t="s">
        <v>10</v>
      </c>
      <c r="B505">
        <v>4218.5688221730597</v>
      </c>
      <c r="C505">
        <v>573449.15</v>
      </c>
      <c r="D505">
        <v>5.9398688292185504</v>
      </c>
      <c r="E505">
        <v>33</v>
      </c>
      <c r="F505" t="s">
        <v>43</v>
      </c>
    </row>
    <row r="506" spans="1:6" x14ac:dyDescent="0.2">
      <c r="A506" t="s">
        <v>9</v>
      </c>
      <c r="B506">
        <v>4563.6151402356199</v>
      </c>
      <c r="C506">
        <v>78789.27</v>
      </c>
      <c r="D506">
        <v>6.3602637445608803</v>
      </c>
      <c r="E506">
        <v>33</v>
      </c>
      <c r="F506" t="s">
        <v>43</v>
      </c>
    </row>
    <row r="507" spans="1:6" x14ac:dyDescent="0.2">
      <c r="A507" t="s">
        <v>11</v>
      </c>
      <c r="B507">
        <v>4869.6496003828497</v>
      </c>
      <c r="C507">
        <v>745118.67</v>
      </c>
      <c r="D507">
        <v>6.9886735196590397</v>
      </c>
      <c r="E507">
        <v>33</v>
      </c>
      <c r="F507" t="s">
        <v>43</v>
      </c>
    </row>
    <row r="508" spans="1:6" x14ac:dyDescent="0.2">
      <c r="A508" t="s">
        <v>10</v>
      </c>
      <c r="B508">
        <v>5214.6837473282503</v>
      </c>
      <c r="C508">
        <v>580302.11</v>
      </c>
      <c r="D508">
        <v>7.4409768875122104</v>
      </c>
      <c r="E508">
        <v>33</v>
      </c>
      <c r="F508" t="s">
        <v>43</v>
      </c>
    </row>
    <row r="509" spans="1:6" x14ac:dyDescent="0.2">
      <c r="A509" t="s">
        <v>9</v>
      </c>
      <c r="B509">
        <v>5520.7141367649501</v>
      </c>
      <c r="C509">
        <v>508860.68</v>
      </c>
      <c r="D509">
        <v>7.8029098864078499</v>
      </c>
      <c r="E509">
        <v>33</v>
      </c>
      <c r="F509" t="s">
        <v>43</v>
      </c>
    </row>
    <row r="510" spans="1:6" x14ac:dyDescent="0.2">
      <c r="A510" t="s">
        <v>9</v>
      </c>
      <c r="B510">
        <v>5826.7486341706599</v>
      </c>
      <c r="C510">
        <v>182656.81</v>
      </c>
      <c r="D510">
        <v>8.2193639949639596</v>
      </c>
      <c r="E510">
        <v>33</v>
      </c>
      <c r="F510" t="s">
        <v>43</v>
      </c>
    </row>
    <row r="511" spans="1:6" x14ac:dyDescent="0.2">
      <c r="A511" t="s">
        <v>8</v>
      </c>
      <c r="B511">
        <v>6155.8183802970298</v>
      </c>
      <c r="C511">
        <v>156888.63</v>
      </c>
      <c r="D511">
        <v>8.5816215947945906</v>
      </c>
      <c r="E511">
        <v>33</v>
      </c>
      <c r="F511" t="s">
        <v>43</v>
      </c>
    </row>
    <row r="512" spans="1:6" x14ac:dyDescent="0.2">
      <c r="A512" t="s">
        <v>10</v>
      </c>
      <c r="B512">
        <v>6500.8535573334802</v>
      </c>
      <c r="C512">
        <v>271976.59999999998</v>
      </c>
      <c r="D512">
        <v>8.9078380798975605</v>
      </c>
      <c r="E512">
        <v>33</v>
      </c>
      <c r="F512" t="s">
        <v>43</v>
      </c>
    </row>
    <row r="513" spans="1:6" x14ac:dyDescent="0.2">
      <c r="A513" t="s">
        <v>8</v>
      </c>
      <c r="B513">
        <v>6829.9035616514902</v>
      </c>
      <c r="C513">
        <v>144101.87</v>
      </c>
      <c r="D513">
        <v>9.3882361785252897</v>
      </c>
      <c r="E513">
        <v>33</v>
      </c>
      <c r="F513" t="s">
        <v>43</v>
      </c>
    </row>
    <row r="514" spans="1:6" x14ac:dyDescent="0.2">
      <c r="A514" t="s">
        <v>10</v>
      </c>
      <c r="B514">
        <v>7174.94538287868</v>
      </c>
      <c r="C514">
        <v>423353.82</v>
      </c>
      <c r="D514">
        <v>9.5967154518445295</v>
      </c>
      <c r="E514">
        <v>33</v>
      </c>
      <c r="F514" t="s">
        <v>43</v>
      </c>
    </row>
    <row r="515" spans="1:6" x14ac:dyDescent="0.2">
      <c r="A515" t="s">
        <v>6</v>
      </c>
      <c r="B515">
        <v>7479.9828321457699</v>
      </c>
      <c r="C515">
        <v>166844.07</v>
      </c>
      <c r="D515">
        <v>9.7190961773872395</v>
      </c>
      <c r="E515">
        <v>33</v>
      </c>
      <c r="F515" t="s">
        <v>43</v>
      </c>
    </row>
    <row r="516" spans="1:6" x14ac:dyDescent="0.2">
      <c r="A516" t="s">
        <v>8</v>
      </c>
      <c r="B516">
        <v>7809.0384104237501</v>
      </c>
      <c r="C516">
        <v>211819.34</v>
      </c>
      <c r="D516">
        <v>10.0772891537031</v>
      </c>
      <c r="E516">
        <v>33</v>
      </c>
      <c r="F516" t="s">
        <v>43</v>
      </c>
    </row>
    <row r="517" spans="1:6" x14ac:dyDescent="0.2">
      <c r="A517" t="s">
        <v>9</v>
      </c>
      <c r="B517">
        <v>8115.08592340614</v>
      </c>
      <c r="C517">
        <v>58923.33</v>
      </c>
      <c r="D517">
        <v>10.258681902853599</v>
      </c>
      <c r="E517">
        <v>33</v>
      </c>
      <c r="F517" t="s">
        <v>43</v>
      </c>
    </row>
    <row r="518" spans="1:6" x14ac:dyDescent="0.2">
      <c r="A518" t="s">
        <v>8</v>
      </c>
      <c r="B518">
        <v>8444.1057852166705</v>
      </c>
      <c r="C518">
        <v>99431.24</v>
      </c>
      <c r="D518">
        <v>10.6487744962851</v>
      </c>
      <c r="E518">
        <v>33</v>
      </c>
      <c r="F518" t="s">
        <v>43</v>
      </c>
    </row>
    <row r="519" spans="1:6" x14ac:dyDescent="0.2">
      <c r="A519" t="s">
        <v>6</v>
      </c>
      <c r="B519">
        <v>8749.1585327582197</v>
      </c>
      <c r="C519">
        <v>94667.34</v>
      </c>
      <c r="D519">
        <v>10.712296018568701</v>
      </c>
      <c r="E519">
        <v>33</v>
      </c>
      <c r="F519" t="s">
        <v>43</v>
      </c>
    </row>
    <row r="520" spans="1:6" x14ac:dyDescent="0.2">
      <c r="A520" t="s">
        <v>8</v>
      </c>
      <c r="B520">
        <v>9078.1945838340107</v>
      </c>
      <c r="C520">
        <v>181191.55</v>
      </c>
      <c r="D520">
        <v>11.0117443616867</v>
      </c>
      <c r="E520">
        <v>33</v>
      </c>
      <c r="F520" t="s">
        <v>43</v>
      </c>
    </row>
    <row r="521" spans="1:6" x14ac:dyDescent="0.2">
      <c r="A521" t="s">
        <v>8</v>
      </c>
      <c r="B521">
        <v>9407.2441412104599</v>
      </c>
      <c r="C521">
        <v>91180.43</v>
      </c>
      <c r="D521">
        <v>11.247654928334599</v>
      </c>
      <c r="E521">
        <v>33</v>
      </c>
      <c r="F521" t="s">
        <v>43</v>
      </c>
    </row>
    <row r="522" spans="1:6" x14ac:dyDescent="0.2">
      <c r="A522" t="s">
        <v>6</v>
      </c>
      <c r="B522">
        <v>9712.3044063232501</v>
      </c>
      <c r="C522">
        <v>59289.81</v>
      </c>
      <c r="D522">
        <v>11.370116702286399</v>
      </c>
      <c r="E522">
        <v>33</v>
      </c>
      <c r="F522" t="s">
        <v>43</v>
      </c>
    </row>
    <row r="523" spans="1:6" x14ac:dyDescent="0.2">
      <c r="A523" t="s">
        <v>6</v>
      </c>
      <c r="B523">
        <v>10017.3001340096</v>
      </c>
      <c r="C523">
        <v>104471.24</v>
      </c>
      <c r="D523">
        <v>11.492626493740101</v>
      </c>
      <c r="E523">
        <v>33</v>
      </c>
      <c r="F523" t="s">
        <v>43</v>
      </c>
    </row>
    <row r="524" spans="1:6" x14ac:dyDescent="0.2">
      <c r="A524" t="s">
        <v>8</v>
      </c>
      <c r="B524">
        <v>10346.3966686576</v>
      </c>
      <c r="C524">
        <v>124624.31</v>
      </c>
      <c r="D524">
        <v>11.7014509017944</v>
      </c>
      <c r="E524">
        <v>33</v>
      </c>
      <c r="F524" t="s">
        <v>43</v>
      </c>
    </row>
    <row r="525" spans="1:6" x14ac:dyDescent="0.2">
      <c r="A525" t="s">
        <v>6</v>
      </c>
      <c r="B525">
        <v>10651.381297981899</v>
      </c>
      <c r="C525">
        <v>125411.96</v>
      </c>
      <c r="D525">
        <v>11.7014509017944</v>
      </c>
      <c r="E525">
        <v>33</v>
      </c>
      <c r="F525" t="s">
        <v>43</v>
      </c>
    </row>
    <row r="526" spans="1:6" x14ac:dyDescent="0.2">
      <c r="A526" t="s">
        <v>8</v>
      </c>
      <c r="B526">
        <v>2613.3666433345902</v>
      </c>
      <c r="C526">
        <v>116052.53</v>
      </c>
      <c r="D526">
        <v>2.0993091936588302</v>
      </c>
      <c r="E526">
        <v>36</v>
      </c>
      <c r="F526" t="s">
        <v>44</v>
      </c>
    </row>
    <row r="527" spans="1:6" x14ac:dyDescent="0.2">
      <c r="A527" t="s">
        <v>6</v>
      </c>
      <c r="B527">
        <v>2942.4049636432201</v>
      </c>
      <c r="C527">
        <v>59583.13</v>
      </c>
      <c r="D527">
        <v>4.5298796192487103</v>
      </c>
      <c r="E527">
        <v>36</v>
      </c>
      <c r="F527" t="s">
        <v>44</v>
      </c>
    </row>
    <row r="528" spans="1:6" x14ac:dyDescent="0.2">
      <c r="A528" t="s">
        <v>11</v>
      </c>
      <c r="B528">
        <v>3247.4495889084401</v>
      </c>
      <c r="C528">
        <v>695116.97</v>
      </c>
      <c r="D528">
        <v>4.8010087624867799</v>
      </c>
      <c r="E528">
        <v>36</v>
      </c>
      <c r="F528" t="s">
        <v>44</v>
      </c>
    </row>
    <row r="529" spans="1:6" x14ac:dyDescent="0.2">
      <c r="A529" t="s">
        <v>9</v>
      </c>
      <c r="B529">
        <v>3553.4769912499901</v>
      </c>
      <c r="C529">
        <v>259536.94</v>
      </c>
      <c r="D529">
        <v>5.8494748866240203</v>
      </c>
      <c r="E529">
        <v>36</v>
      </c>
      <c r="F529" t="s">
        <v>44</v>
      </c>
    </row>
    <row r="530" spans="1:6" x14ac:dyDescent="0.2">
      <c r="A530" t="s">
        <v>9</v>
      </c>
      <c r="B530">
        <v>1332.2054728180699</v>
      </c>
      <c r="C530">
        <v>444137.57</v>
      </c>
      <c r="D530">
        <v>0.80731301066080696</v>
      </c>
      <c r="E530">
        <v>37</v>
      </c>
      <c r="F530" t="s">
        <v>45</v>
      </c>
    </row>
    <row r="531" spans="1:6" x14ac:dyDescent="0.2">
      <c r="A531" t="s">
        <v>6</v>
      </c>
      <c r="B531">
        <v>1638.23276070561</v>
      </c>
      <c r="C531">
        <v>276761.59000000003</v>
      </c>
      <c r="D531">
        <v>0.87054953532218904</v>
      </c>
      <c r="E531">
        <v>37</v>
      </c>
      <c r="F531" t="s">
        <v>45</v>
      </c>
    </row>
    <row r="532" spans="1:6" x14ac:dyDescent="0.2">
      <c r="A532" t="s">
        <v>9</v>
      </c>
      <c r="B532">
        <v>1943.27402978792</v>
      </c>
      <c r="C532">
        <v>563934.9</v>
      </c>
      <c r="D532">
        <v>0.96089091854095499</v>
      </c>
      <c r="E532">
        <v>37</v>
      </c>
      <c r="F532" t="s">
        <v>45</v>
      </c>
    </row>
    <row r="533" spans="1:6" x14ac:dyDescent="0.2">
      <c r="A533" t="s">
        <v>10</v>
      </c>
      <c r="B533">
        <v>2249.3077109329902</v>
      </c>
      <c r="C533">
        <v>431517.84</v>
      </c>
      <c r="D533">
        <v>1.07834287838936</v>
      </c>
      <c r="E533">
        <v>37</v>
      </c>
      <c r="F533" t="s">
        <v>45</v>
      </c>
    </row>
    <row r="534" spans="1:6" x14ac:dyDescent="0.2">
      <c r="A534" t="s">
        <v>8</v>
      </c>
      <c r="B534">
        <v>2594.3584780471301</v>
      </c>
      <c r="C534">
        <v>624656.43999999994</v>
      </c>
      <c r="D534">
        <v>1.7378969446500101</v>
      </c>
      <c r="E534">
        <v>37</v>
      </c>
      <c r="F534" t="s">
        <v>45</v>
      </c>
    </row>
    <row r="535" spans="1:6" x14ac:dyDescent="0.2">
      <c r="A535" t="s">
        <v>6</v>
      </c>
      <c r="B535">
        <v>2923.4106326619599</v>
      </c>
      <c r="C535">
        <v>494697.03</v>
      </c>
      <c r="D535">
        <v>3.4500159120241798</v>
      </c>
      <c r="E535">
        <v>37</v>
      </c>
      <c r="F535" t="s">
        <v>45</v>
      </c>
    </row>
    <row r="536" spans="1:6" x14ac:dyDescent="0.2">
      <c r="A536" t="s">
        <v>11</v>
      </c>
      <c r="B536">
        <v>3228.4428560408501</v>
      </c>
      <c r="C536">
        <v>691893.35</v>
      </c>
      <c r="D536">
        <v>4.1096437529405003</v>
      </c>
      <c r="E536">
        <v>37</v>
      </c>
      <c r="F536" t="s">
        <v>45</v>
      </c>
    </row>
    <row r="537" spans="1:6" x14ac:dyDescent="0.2">
      <c r="A537" t="s">
        <v>9</v>
      </c>
      <c r="B537">
        <v>3534.4704069249501</v>
      </c>
      <c r="C537">
        <v>397810.88</v>
      </c>
      <c r="D537">
        <v>4.85975264466604</v>
      </c>
      <c r="E537">
        <v>37</v>
      </c>
      <c r="F537" t="s">
        <v>45</v>
      </c>
    </row>
    <row r="538" spans="1:6" x14ac:dyDescent="0.2">
      <c r="A538" t="s">
        <v>8</v>
      </c>
      <c r="B538">
        <v>3863.5252547303098</v>
      </c>
      <c r="C538">
        <v>555742.31999999995</v>
      </c>
      <c r="D538">
        <v>5.7907224849542001</v>
      </c>
      <c r="E538">
        <v>37</v>
      </c>
      <c r="F538" t="s">
        <v>45</v>
      </c>
    </row>
    <row r="539" spans="1:6" x14ac:dyDescent="0.2">
      <c r="A539" t="s">
        <v>6</v>
      </c>
      <c r="B539">
        <v>4168.5529359017501</v>
      </c>
      <c r="C539">
        <v>111458.92</v>
      </c>
      <c r="D539">
        <v>6.2382045622348796</v>
      </c>
      <c r="E539">
        <v>37</v>
      </c>
      <c r="F539" t="s">
        <v>45</v>
      </c>
    </row>
    <row r="540" spans="1:6" x14ac:dyDescent="0.2">
      <c r="A540" t="s">
        <v>9</v>
      </c>
      <c r="B540">
        <v>4474.5776080401301</v>
      </c>
      <c r="C540">
        <v>250894.58</v>
      </c>
      <c r="D540">
        <v>6.83945900357564</v>
      </c>
      <c r="E540">
        <v>37</v>
      </c>
      <c r="F540" t="s">
        <v>45</v>
      </c>
    </row>
    <row r="541" spans="1:6" x14ac:dyDescent="0.2">
      <c r="A541" t="s">
        <v>8</v>
      </c>
      <c r="B541">
        <v>4803.6271202408298</v>
      </c>
      <c r="C541">
        <v>212495.95</v>
      </c>
      <c r="D541">
        <v>7.5586016451994604</v>
      </c>
      <c r="E541">
        <v>37</v>
      </c>
      <c r="F541" t="s">
        <v>45</v>
      </c>
    </row>
    <row r="542" spans="1:6" x14ac:dyDescent="0.2">
      <c r="A542" t="s">
        <v>10</v>
      </c>
      <c r="B542">
        <v>5148.6775800503601</v>
      </c>
      <c r="C542">
        <v>259110.89</v>
      </c>
      <c r="D542">
        <v>8.0111072178363791</v>
      </c>
      <c r="E542">
        <v>37</v>
      </c>
      <c r="F542" t="s">
        <v>45</v>
      </c>
    </row>
    <row r="543" spans="1:6" x14ac:dyDescent="0.2">
      <c r="A543" t="s">
        <v>9</v>
      </c>
      <c r="B543">
        <v>5454.7178127580401</v>
      </c>
      <c r="C543">
        <v>439475.56</v>
      </c>
      <c r="D543">
        <v>8.2827520942370096</v>
      </c>
      <c r="E543">
        <v>37</v>
      </c>
      <c r="F543" t="s">
        <v>45</v>
      </c>
    </row>
    <row r="544" spans="1:6" x14ac:dyDescent="0.2">
      <c r="A544" t="s">
        <v>9</v>
      </c>
      <c r="B544">
        <v>5760.7644725708096</v>
      </c>
      <c r="C544">
        <v>105091.75</v>
      </c>
      <c r="D544">
        <v>7.53146161195437</v>
      </c>
      <c r="E544">
        <v>37</v>
      </c>
      <c r="F544" t="s">
        <v>45</v>
      </c>
    </row>
    <row r="545" spans="1:6" x14ac:dyDescent="0.2">
      <c r="A545" t="s">
        <v>10</v>
      </c>
      <c r="B545">
        <v>3144.4022605519999</v>
      </c>
      <c r="C545">
        <v>312540.17</v>
      </c>
      <c r="D545">
        <v>3.7527103777408599</v>
      </c>
      <c r="E545">
        <v>38</v>
      </c>
      <c r="F545" t="s">
        <v>46</v>
      </c>
    </row>
    <row r="546" spans="1:6" x14ac:dyDescent="0.2">
      <c r="A546" t="s">
        <v>8</v>
      </c>
      <c r="B546">
        <v>3489.4543867828202</v>
      </c>
      <c r="C546">
        <v>351530.13</v>
      </c>
      <c r="D546">
        <v>4.6473744447708096</v>
      </c>
      <c r="E546">
        <v>38</v>
      </c>
      <c r="F546" t="s">
        <v>46</v>
      </c>
    </row>
    <row r="547" spans="1:6" x14ac:dyDescent="0.2">
      <c r="A547" t="s">
        <v>6</v>
      </c>
      <c r="B547">
        <v>3818.5047775175799</v>
      </c>
      <c r="C547">
        <v>557567.86</v>
      </c>
      <c r="D547">
        <v>5.6099234874725301</v>
      </c>
      <c r="E547">
        <v>38</v>
      </c>
      <c r="F547" t="s">
        <v>46</v>
      </c>
    </row>
    <row r="548" spans="1:6" x14ac:dyDescent="0.2">
      <c r="A548" t="s">
        <v>6</v>
      </c>
      <c r="B548">
        <v>4123.5409034197601</v>
      </c>
      <c r="C548">
        <v>445752.35</v>
      </c>
      <c r="D548">
        <v>6.3919035450299599</v>
      </c>
      <c r="E548">
        <v>38</v>
      </c>
      <c r="F548" t="s">
        <v>46</v>
      </c>
    </row>
    <row r="549" spans="1:6" x14ac:dyDescent="0.2">
      <c r="A549" t="s">
        <v>10</v>
      </c>
      <c r="B549">
        <v>4428.5815312446803</v>
      </c>
      <c r="C549">
        <v>449046.3</v>
      </c>
      <c r="D549">
        <v>6.3919035450299599</v>
      </c>
      <c r="E549">
        <v>38</v>
      </c>
      <c r="F549" t="s">
        <v>46</v>
      </c>
    </row>
    <row r="550" spans="1:6" x14ac:dyDescent="0.2">
      <c r="A550" t="s">
        <v>11</v>
      </c>
      <c r="B550">
        <v>4773.62638513822</v>
      </c>
      <c r="C550">
        <v>677042.88</v>
      </c>
      <c r="D550">
        <v>6.9298931951999698</v>
      </c>
      <c r="E550">
        <v>38</v>
      </c>
      <c r="F550" t="s">
        <v>46</v>
      </c>
    </row>
    <row r="551" spans="1:6" x14ac:dyDescent="0.2">
      <c r="A551" t="s">
        <v>10</v>
      </c>
      <c r="B551">
        <v>5118.6738343673896</v>
      </c>
      <c r="C551">
        <v>538180.4</v>
      </c>
      <c r="D551">
        <v>7.3188331361293804</v>
      </c>
      <c r="E551">
        <v>38</v>
      </c>
      <c r="F551" t="s">
        <v>46</v>
      </c>
    </row>
    <row r="552" spans="1:6" x14ac:dyDescent="0.2">
      <c r="A552" t="s">
        <v>9</v>
      </c>
      <c r="B552">
        <v>5424.7179021208003</v>
      </c>
      <c r="C552">
        <v>665813.31000000006</v>
      </c>
      <c r="D552">
        <v>7.7395614460786204</v>
      </c>
      <c r="E552">
        <v>38</v>
      </c>
      <c r="F552" t="s">
        <v>46</v>
      </c>
    </row>
    <row r="553" spans="1:6" x14ac:dyDescent="0.2">
      <c r="A553" t="s">
        <v>6</v>
      </c>
      <c r="B553">
        <v>5729.7513702229899</v>
      </c>
      <c r="C553">
        <v>497349.85</v>
      </c>
      <c r="D553">
        <v>7.97942051049868</v>
      </c>
      <c r="E553">
        <v>38</v>
      </c>
      <c r="F553" t="s">
        <v>46</v>
      </c>
    </row>
    <row r="554" spans="1:6" x14ac:dyDescent="0.2">
      <c r="A554" t="s">
        <v>10</v>
      </c>
      <c r="B554">
        <v>6074.81763394472</v>
      </c>
      <c r="C554">
        <v>258193.22</v>
      </c>
      <c r="D554">
        <v>8.3099201039155304</v>
      </c>
      <c r="E554">
        <v>38</v>
      </c>
      <c r="F554" t="s">
        <v>46</v>
      </c>
    </row>
    <row r="555" spans="1:6" x14ac:dyDescent="0.2">
      <c r="A555" t="s">
        <v>8</v>
      </c>
      <c r="B555">
        <v>6403.8503295625096</v>
      </c>
      <c r="C555">
        <v>276886.89</v>
      </c>
      <c r="D555">
        <v>8.7628044779777508</v>
      </c>
      <c r="E555">
        <v>38</v>
      </c>
      <c r="F555" t="s">
        <v>46</v>
      </c>
    </row>
    <row r="556" spans="1:6" x14ac:dyDescent="0.2">
      <c r="A556" t="s">
        <v>6</v>
      </c>
      <c r="B556">
        <v>6708.8600537748098</v>
      </c>
      <c r="C556">
        <v>60603.839999999997</v>
      </c>
      <c r="D556">
        <v>8.8806360796769503</v>
      </c>
      <c r="E556">
        <v>38</v>
      </c>
      <c r="F556" t="s">
        <v>46</v>
      </c>
    </row>
    <row r="557" spans="1:6" x14ac:dyDescent="0.2">
      <c r="A557" t="s">
        <v>8</v>
      </c>
      <c r="B557">
        <v>2463.2929510208301</v>
      </c>
      <c r="C557">
        <v>39776.58</v>
      </c>
      <c r="D557">
        <v>0.98799588637351998</v>
      </c>
      <c r="E557">
        <v>39</v>
      </c>
      <c r="F557" t="s">
        <v>47</v>
      </c>
    </row>
    <row r="558" spans="1:6" x14ac:dyDescent="0.2">
      <c r="A558" t="s">
        <v>8</v>
      </c>
      <c r="B558">
        <v>2792.3232840757801</v>
      </c>
      <c r="C558">
        <v>226463.47</v>
      </c>
      <c r="D558">
        <v>1.29066340284348</v>
      </c>
      <c r="E558">
        <v>39</v>
      </c>
      <c r="F558" t="s">
        <v>47</v>
      </c>
    </row>
    <row r="559" spans="1:6" x14ac:dyDescent="0.2">
      <c r="A559" t="s">
        <v>11</v>
      </c>
      <c r="B559">
        <v>3121.37627387578</v>
      </c>
      <c r="C559">
        <v>673513.97</v>
      </c>
      <c r="D559">
        <v>3.0027927116235098</v>
      </c>
      <c r="E559">
        <v>39</v>
      </c>
      <c r="F559" t="s">
        <v>47</v>
      </c>
    </row>
    <row r="560" spans="1:6" x14ac:dyDescent="0.2">
      <c r="A560" t="s">
        <v>10</v>
      </c>
      <c r="B560">
        <v>3466.4383263565401</v>
      </c>
      <c r="C560">
        <v>38084.33</v>
      </c>
      <c r="D560">
        <v>4.6790031865914701</v>
      </c>
      <c r="E560">
        <v>39</v>
      </c>
      <c r="F560" t="s">
        <v>47</v>
      </c>
    </row>
    <row r="561" spans="1:6" x14ac:dyDescent="0.2">
      <c r="A561" t="s">
        <v>6</v>
      </c>
      <c r="B561">
        <v>3771.4645461033501</v>
      </c>
      <c r="C561">
        <v>453720.58</v>
      </c>
      <c r="D561">
        <v>4.8281210438092499</v>
      </c>
      <c r="E561">
        <v>39</v>
      </c>
      <c r="F561" t="s">
        <v>47</v>
      </c>
    </row>
    <row r="562" spans="1:6" x14ac:dyDescent="0.2">
      <c r="A562" t="s">
        <v>9</v>
      </c>
      <c r="B562">
        <v>4077.4943693520399</v>
      </c>
      <c r="C562">
        <v>300958.62</v>
      </c>
      <c r="D562">
        <v>5.4879047031879402</v>
      </c>
      <c r="E562">
        <v>39</v>
      </c>
      <c r="F562" t="s">
        <v>47</v>
      </c>
    </row>
    <row r="563" spans="1:6" x14ac:dyDescent="0.2">
      <c r="A563" t="s">
        <v>10</v>
      </c>
      <c r="B563">
        <v>4422.5425023930902</v>
      </c>
      <c r="C563">
        <v>363547.09</v>
      </c>
      <c r="D563">
        <v>6.2110808606624603</v>
      </c>
      <c r="E563">
        <v>39</v>
      </c>
      <c r="F563" t="s">
        <v>47</v>
      </c>
    </row>
    <row r="564" spans="1:6" x14ac:dyDescent="0.2">
      <c r="A564" t="s">
        <v>9</v>
      </c>
      <c r="B564">
        <v>4728.56579691139</v>
      </c>
      <c r="C564">
        <v>274615.51</v>
      </c>
      <c r="D564">
        <v>6.6269811943848902</v>
      </c>
      <c r="E564">
        <v>39</v>
      </c>
      <c r="F564" t="s">
        <v>47</v>
      </c>
    </row>
    <row r="565" spans="1:6" x14ac:dyDescent="0.2">
      <c r="A565" t="s">
        <v>8</v>
      </c>
      <c r="B565">
        <v>5057.6319846672204</v>
      </c>
      <c r="C565">
        <v>78329.27</v>
      </c>
      <c r="D565">
        <v>7.7667061543146803</v>
      </c>
      <c r="E565">
        <v>39</v>
      </c>
      <c r="F565" t="s">
        <v>47</v>
      </c>
    </row>
    <row r="566" spans="1:6" x14ac:dyDescent="0.2">
      <c r="A566" t="s">
        <v>6</v>
      </c>
      <c r="B566">
        <v>5362.6663242923896</v>
      </c>
      <c r="C566">
        <v>361248.11</v>
      </c>
      <c r="D566">
        <v>7.6490736877600298</v>
      </c>
      <c r="E566">
        <v>39</v>
      </c>
      <c r="F566" t="s">
        <v>47</v>
      </c>
    </row>
    <row r="567" spans="1:6" x14ac:dyDescent="0.2">
      <c r="A567" t="s">
        <v>9</v>
      </c>
      <c r="B567">
        <v>2832.3288677556202</v>
      </c>
      <c r="C567">
        <v>628192.39</v>
      </c>
      <c r="D567">
        <v>1.4668493187109599</v>
      </c>
      <c r="E567">
        <v>40</v>
      </c>
      <c r="F567" t="s">
        <v>48</v>
      </c>
    </row>
    <row r="568" spans="1:6" x14ac:dyDescent="0.2">
      <c r="A568" t="s">
        <v>11</v>
      </c>
      <c r="B568">
        <v>3138.3539462004801</v>
      </c>
      <c r="C568">
        <v>667987.87</v>
      </c>
      <c r="D568">
        <v>2.6097861702918999</v>
      </c>
      <c r="E568">
        <v>40</v>
      </c>
      <c r="F568" t="s">
        <v>48</v>
      </c>
    </row>
    <row r="569" spans="1:6" x14ac:dyDescent="0.2">
      <c r="A569" t="s">
        <v>8</v>
      </c>
      <c r="B569">
        <v>3467.4105410018101</v>
      </c>
      <c r="C569">
        <v>487766.67</v>
      </c>
      <c r="D569">
        <v>4.32201112863223</v>
      </c>
      <c r="E569">
        <v>40</v>
      </c>
      <c r="F569" t="s">
        <v>48</v>
      </c>
    </row>
    <row r="570" spans="1:6" x14ac:dyDescent="0.2">
      <c r="A570" t="s">
        <v>6</v>
      </c>
      <c r="B570">
        <v>3772.4570350590998</v>
      </c>
      <c r="C570">
        <v>337657.97</v>
      </c>
      <c r="D570">
        <v>5.0405052121162397</v>
      </c>
      <c r="E570">
        <v>40</v>
      </c>
      <c r="F570" t="s">
        <v>48</v>
      </c>
    </row>
    <row r="571" spans="1:6" x14ac:dyDescent="0.2">
      <c r="A571" t="s">
        <v>8</v>
      </c>
      <c r="B571">
        <v>4101.5058224948298</v>
      </c>
      <c r="C571">
        <v>271180.69</v>
      </c>
      <c r="D571">
        <v>5.9398688292185504</v>
      </c>
      <c r="E571">
        <v>40</v>
      </c>
      <c r="F571" t="s">
        <v>48</v>
      </c>
    </row>
    <row r="572" spans="1:6" x14ac:dyDescent="0.2">
      <c r="A572" t="s">
        <v>6</v>
      </c>
      <c r="B572">
        <v>4406.5537209650602</v>
      </c>
      <c r="C572">
        <v>149033.71</v>
      </c>
      <c r="D572">
        <v>6.3919035450299599</v>
      </c>
      <c r="E572">
        <v>40</v>
      </c>
      <c r="F572" t="s">
        <v>48</v>
      </c>
    </row>
    <row r="573" spans="1:6" x14ac:dyDescent="0.2">
      <c r="A573" t="s">
        <v>6</v>
      </c>
      <c r="B573">
        <v>4711.5908656599804</v>
      </c>
      <c r="C573">
        <v>486222.1</v>
      </c>
      <c r="D573">
        <v>6.6902697598616303</v>
      </c>
      <c r="E573">
        <v>40</v>
      </c>
      <c r="F573" t="s">
        <v>48</v>
      </c>
    </row>
    <row r="574" spans="1:6" x14ac:dyDescent="0.2">
      <c r="A574" t="s">
        <v>9</v>
      </c>
      <c r="B574">
        <v>5017.6194315520497</v>
      </c>
      <c r="C574">
        <v>362013.24</v>
      </c>
      <c r="D574">
        <v>7.0791212037881204</v>
      </c>
      <c r="E574">
        <v>40</v>
      </c>
      <c r="F574" t="s">
        <v>48</v>
      </c>
    </row>
    <row r="575" spans="1:6" x14ac:dyDescent="0.2">
      <c r="A575" t="s">
        <v>9</v>
      </c>
      <c r="B575">
        <v>5323.6406851382699</v>
      </c>
      <c r="C575">
        <v>313143.69</v>
      </c>
      <c r="D575">
        <v>7.4681177532355001</v>
      </c>
      <c r="E575">
        <v>40</v>
      </c>
      <c r="F575" t="s">
        <v>48</v>
      </c>
    </row>
    <row r="576" spans="1:6" x14ac:dyDescent="0.2">
      <c r="A576" t="s">
        <v>9</v>
      </c>
      <c r="B576">
        <v>5629.6550960145596</v>
      </c>
      <c r="C576">
        <v>133912.82</v>
      </c>
      <c r="D576">
        <v>7.8572145278930696</v>
      </c>
      <c r="E576">
        <v>40</v>
      </c>
      <c r="F576" t="s">
        <v>48</v>
      </c>
    </row>
    <row r="577" spans="1:6" x14ac:dyDescent="0.2">
      <c r="A577" t="s">
        <v>6</v>
      </c>
      <c r="B577">
        <v>5934.7105049977299</v>
      </c>
      <c r="C577">
        <v>42716.02</v>
      </c>
      <c r="D577">
        <v>8.0699638203461994</v>
      </c>
      <c r="E577">
        <v>40</v>
      </c>
      <c r="F577" t="s">
        <v>48</v>
      </c>
    </row>
    <row r="578" spans="1:6" x14ac:dyDescent="0.2">
      <c r="A578" t="s">
        <v>9</v>
      </c>
      <c r="B578">
        <v>6240.7498043425803</v>
      </c>
      <c r="C578">
        <v>25153.48</v>
      </c>
      <c r="D578">
        <v>8.3099201039155304</v>
      </c>
      <c r="E578">
        <v>40</v>
      </c>
      <c r="F578" t="s">
        <v>48</v>
      </c>
    </row>
    <row r="579" spans="1:6" x14ac:dyDescent="0.2">
      <c r="A579" t="s">
        <v>6</v>
      </c>
      <c r="B579">
        <v>3795.4839797924501</v>
      </c>
      <c r="C579">
        <v>450970.35</v>
      </c>
      <c r="D579">
        <v>5.3975297287782</v>
      </c>
      <c r="E579">
        <v>41</v>
      </c>
      <c r="F579" t="s">
        <v>49</v>
      </c>
    </row>
    <row r="580" spans="1:6" x14ac:dyDescent="0.2">
      <c r="A580" t="s">
        <v>8</v>
      </c>
      <c r="B580">
        <v>4100.51968629572</v>
      </c>
      <c r="C580">
        <v>244927.87</v>
      </c>
      <c r="D580">
        <v>5.8223578448772404</v>
      </c>
      <c r="E580">
        <v>41</v>
      </c>
      <c r="F580" t="s">
        <v>49</v>
      </c>
    </row>
    <row r="581" spans="1:6" x14ac:dyDescent="0.2">
      <c r="A581" t="s">
        <v>8</v>
      </c>
      <c r="B581">
        <v>4429.5721603747097</v>
      </c>
      <c r="C581">
        <v>413707.65</v>
      </c>
      <c r="D581">
        <v>6.7173964198112497</v>
      </c>
      <c r="E581">
        <v>41</v>
      </c>
      <c r="F581" t="s">
        <v>49</v>
      </c>
    </row>
    <row r="582" spans="1:6" x14ac:dyDescent="0.2">
      <c r="A582" t="s">
        <v>6</v>
      </c>
      <c r="B582">
        <v>4758.6303509171503</v>
      </c>
      <c r="C582">
        <v>448572.03</v>
      </c>
      <c r="D582">
        <v>7.4681177532355001</v>
      </c>
      <c r="E582">
        <v>41</v>
      </c>
      <c r="F582" t="s">
        <v>49</v>
      </c>
    </row>
    <row r="583" spans="1:6" x14ac:dyDescent="0.2">
      <c r="A583" t="s">
        <v>11</v>
      </c>
      <c r="B583">
        <v>5063.6655735146096</v>
      </c>
      <c r="C583">
        <v>654846.31000000006</v>
      </c>
      <c r="D583">
        <v>7.8572145278930696</v>
      </c>
      <c r="E583">
        <v>41</v>
      </c>
      <c r="F583" t="s">
        <v>49</v>
      </c>
    </row>
    <row r="584" spans="1:6" x14ac:dyDescent="0.2">
      <c r="A584" t="s">
        <v>10</v>
      </c>
      <c r="B584">
        <v>5408.7126300112304</v>
      </c>
      <c r="C584">
        <v>568885.98</v>
      </c>
      <c r="D584">
        <v>7.9205819860776296</v>
      </c>
      <c r="E584">
        <v>41</v>
      </c>
      <c r="F584" t="s">
        <v>49</v>
      </c>
    </row>
    <row r="585" spans="1:6" x14ac:dyDescent="0.2">
      <c r="A585" t="s">
        <v>9</v>
      </c>
      <c r="B585">
        <v>5714.7507117756404</v>
      </c>
      <c r="C585">
        <v>453363.06</v>
      </c>
      <c r="D585">
        <v>8.2510596112092305</v>
      </c>
      <c r="E585">
        <v>41</v>
      </c>
      <c r="F585" t="s">
        <v>49</v>
      </c>
    </row>
    <row r="586" spans="1:6" x14ac:dyDescent="0.2">
      <c r="A586" t="s">
        <v>6</v>
      </c>
      <c r="B586">
        <v>6019.7878839363902</v>
      </c>
      <c r="C586">
        <v>308118.52</v>
      </c>
      <c r="D586">
        <v>8.4004820779641491</v>
      </c>
      <c r="E586">
        <v>41</v>
      </c>
      <c r="F586" t="s">
        <v>49</v>
      </c>
    </row>
    <row r="587" spans="1:6" x14ac:dyDescent="0.2">
      <c r="A587" t="s">
        <v>9</v>
      </c>
      <c r="B587">
        <v>6325.8171443862402</v>
      </c>
      <c r="C587">
        <v>281288.34000000003</v>
      </c>
      <c r="D587">
        <v>8.7899990613937398</v>
      </c>
      <c r="E587">
        <v>41</v>
      </c>
      <c r="F587" t="s">
        <v>49</v>
      </c>
    </row>
    <row r="588" spans="1:6" x14ac:dyDescent="0.2">
      <c r="A588" t="s">
        <v>10</v>
      </c>
      <c r="B588">
        <v>6670.87074212064</v>
      </c>
      <c r="C588">
        <v>207554.78</v>
      </c>
      <c r="D588">
        <v>9.0302120701154092</v>
      </c>
      <c r="E588">
        <v>41</v>
      </c>
      <c r="F588" t="s">
        <v>49</v>
      </c>
    </row>
    <row r="589" spans="1:6" x14ac:dyDescent="0.2">
      <c r="A589" t="s">
        <v>10</v>
      </c>
      <c r="B589">
        <v>7015.9232683390501</v>
      </c>
      <c r="C589">
        <v>408223.12</v>
      </c>
      <c r="D589">
        <v>9.2976035789330798</v>
      </c>
      <c r="E589">
        <v>41</v>
      </c>
      <c r="F589" t="s">
        <v>49</v>
      </c>
    </row>
    <row r="590" spans="1:6" x14ac:dyDescent="0.2">
      <c r="A590" t="s">
        <v>6</v>
      </c>
      <c r="B590">
        <v>7320.9462043824497</v>
      </c>
      <c r="C590">
        <v>271325.99</v>
      </c>
      <c r="D590">
        <v>9.4788820937951392</v>
      </c>
      <c r="E590">
        <v>41</v>
      </c>
      <c r="F590" t="s">
        <v>49</v>
      </c>
    </row>
    <row r="591" spans="1:6" x14ac:dyDescent="0.2">
      <c r="A591" t="s">
        <v>9</v>
      </c>
      <c r="B591">
        <v>2195.2759113175698</v>
      </c>
      <c r="C591">
        <v>145992.57</v>
      </c>
      <c r="D591">
        <v>0.80731301066080696</v>
      </c>
      <c r="E591">
        <v>42</v>
      </c>
      <c r="F591" t="s">
        <v>50</v>
      </c>
    </row>
    <row r="592" spans="1:6" x14ac:dyDescent="0.2">
      <c r="A592" t="s">
        <v>8</v>
      </c>
      <c r="B592">
        <v>2501.3044183496399</v>
      </c>
      <c r="C592">
        <v>226418.44</v>
      </c>
      <c r="D592">
        <v>0.89764954404830899</v>
      </c>
      <c r="E592">
        <v>42</v>
      </c>
      <c r="F592" t="s">
        <v>50</v>
      </c>
    </row>
    <row r="593" spans="1:6" x14ac:dyDescent="0.2">
      <c r="A593" t="s">
        <v>8</v>
      </c>
      <c r="B593">
        <v>2830.35732703746</v>
      </c>
      <c r="C593">
        <v>351655.02</v>
      </c>
      <c r="D593">
        <v>1.2003145213604001</v>
      </c>
      <c r="E593">
        <v>42</v>
      </c>
      <c r="F593" t="s">
        <v>50</v>
      </c>
    </row>
    <row r="594" spans="1:6" x14ac:dyDescent="0.2">
      <c r="A594" t="s">
        <v>9</v>
      </c>
      <c r="B594">
        <v>3159.4073347589001</v>
      </c>
      <c r="C594">
        <v>304491.15999999997</v>
      </c>
      <c r="D594">
        <v>2.8492029364585898</v>
      </c>
      <c r="E594">
        <v>42</v>
      </c>
      <c r="F594" t="s">
        <v>50</v>
      </c>
    </row>
    <row r="595" spans="1:6" x14ac:dyDescent="0.2">
      <c r="A595" t="s">
        <v>11</v>
      </c>
      <c r="B595">
        <v>3465.4384717623002</v>
      </c>
      <c r="C595">
        <v>642845</v>
      </c>
      <c r="D595">
        <v>4.0509121612389896</v>
      </c>
      <c r="E595">
        <v>42</v>
      </c>
      <c r="F595" t="s">
        <v>50</v>
      </c>
    </row>
    <row r="596" spans="1:6" x14ac:dyDescent="0.2">
      <c r="A596" t="s">
        <v>10</v>
      </c>
      <c r="B596">
        <v>3810.4874237938502</v>
      </c>
      <c r="C596">
        <v>488142.9</v>
      </c>
      <c r="D596">
        <v>4.8281210438092499</v>
      </c>
      <c r="E596">
        <v>42</v>
      </c>
      <c r="F596" t="s">
        <v>50</v>
      </c>
    </row>
    <row r="597" spans="1:6" x14ac:dyDescent="0.2">
      <c r="A597" t="s">
        <v>8</v>
      </c>
      <c r="B597">
        <v>4139.5402339684997</v>
      </c>
      <c r="C597">
        <v>473128.04</v>
      </c>
      <c r="D597">
        <v>5.8494748866240203</v>
      </c>
      <c r="E597">
        <v>42</v>
      </c>
      <c r="F597" t="s">
        <v>50</v>
      </c>
    </row>
    <row r="598" spans="1:6" x14ac:dyDescent="0.2">
      <c r="A598" t="s">
        <v>8</v>
      </c>
      <c r="B598">
        <v>1897.2168969408999</v>
      </c>
      <c r="C598">
        <v>227645.08</v>
      </c>
      <c r="D598">
        <v>0.78020909385681203</v>
      </c>
      <c r="E598">
        <v>43</v>
      </c>
      <c r="F598" t="s">
        <v>51</v>
      </c>
    </row>
    <row r="599" spans="1:6" x14ac:dyDescent="0.2">
      <c r="A599" t="s">
        <v>6</v>
      </c>
      <c r="B599">
        <v>2226.2694964708999</v>
      </c>
      <c r="C599">
        <v>471487.52</v>
      </c>
      <c r="D599">
        <v>1.07834287838936</v>
      </c>
      <c r="E599">
        <v>43</v>
      </c>
      <c r="F599" t="s">
        <v>51</v>
      </c>
    </row>
    <row r="600" spans="1:6" x14ac:dyDescent="0.2">
      <c r="A600" t="s">
        <v>10</v>
      </c>
      <c r="B600">
        <v>2531.3197323496902</v>
      </c>
      <c r="C600">
        <v>453680.14</v>
      </c>
      <c r="D600">
        <v>1.10996682004929</v>
      </c>
      <c r="E600">
        <v>43</v>
      </c>
      <c r="F600" t="s">
        <v>51</v>
      </c>
    </row>
    <row r="601" spans="1:6" x14ac:dyDescent="0.2">
      <c r="A601" t="s">
        <v>10</v>
      </c>
      <c r="B601">
        <v>2876.3710787528498</v>
      </c>
      <c r="C601">
        <v>337844.93</v>
      </c>
      <c r="D601">
        <v>1.67917446252505</v>
      </c>
      <c r="E601">
        <v>43</v>
      </c>
      <c r="F601" t="s">
        <v>51</v>
      </c>
    </row>
    <row r="602" spans="1:6" x14ac:dyDescent="0.2">
      <c r="A602" t="s">
        <v>8</v>
      </c>
      <c r="B602">
        <v>3221.4131553776201</v>
      </c>
      <c r="C602">
        <v>411439.19</v>
      </c>
      <c r="D602">
        <v>3.0027927116235098</v>
      </c>
      <c r="E602">
        <v>43</v>
      </c>
      <c r="F602" t="s">
        <v>51</v>
      </c>
    </row>
    <row r="603" spans="1:6" x14ac:dyDescent="0.2">
      <c r="A603" t="s">
        <v>9</v>
      </c>
      <c r="B603">
        <v>3550.4601872888002</v>
      </c>
      <c r="C603">
        <v>284599.5</v>
      </c>
      <c r="D603">
        <v>4.5027640199343404</v>
      </c>
      <c r="E603">
        <v>43</v>
      </c>
      <c r="F603" t="s">
        <v>51</v>
      </c>
    </row>
    <row r="604" spans="1:6" x14ac:dyDescent="0.2">
      <c r="A604" t="s">
        <v>10</v>
      </c>
      <c r="B604">
        <v>3856.4951653931698</v>
      </c>
      <c r="C604">
        <v>361812.92</v>
      </c>
      <c r="D604">
        <v>5.2529161369482704</v>
      </c>
      <c r="E604">
        <v>43</v>
      </c>
      <c r="F604" t="s">
        <v>51</v>
      </c>
    </row>
    <row r="605" spans="1:6" x14ac:dyDescent="0.2">
      <c r="A605" t="s">
        <v>9</v>
      </c>
      <c r="B605">
        <v>4201.5527426403096</v>
      </c>
      <c r="C605">
        <v>256702.43</v>
      </c>
      <c r="D605">
        <v>6.0031435604572296</v>
      </c>
      <c r="E605">
        <v>43</v>
      </c>
      <c r="F605" t="s">
        <v>51</v>
      </c>
    </row>
    <row r="606" spans="1:6" x14ac:dyDescent="0.2">
      <c r="A606" t="s">
        <v>6</v>
      </c>
      <c r="B606">
        <v>4507.6045755820596</v>
      </c>
      <c r="C606">
        <v>598095.89</v>
      </c>
      <c r="D606">
        <v>6.5727330104192099</v>
      </c>
      <c r="E606">
        <v>43</v>
      </c>
      <c r="F606" t="s">
        <v>51</v>
      </c>
    </row>
    <row r="607" spans="1:6" x14ac:dyDescent="0.2">
      <c r="A607" t="s">
        <v>10</v>
      </c>
      <c r="B607">
        <v>4812.6219888536698</v>
      </c>
      <c r="C607">
        <v>449702.58</v>
      </c>
      <c r="D607">
        <v>6.8982393697579703</v>
      </c>
      <c r="E607">
        <v>43</v>
      </c>
      <c r="F607" t="s">
        <v>51</v>
      </c>
    </row>
    <row r="608" spans="1:6" x14ac:dyDescent="0.2">
      <c r="A608" t="s">
        <v>11</v>
      </c>
      <c r="B608">
        <v>5157.6956618391496</v>
      </c>
      <c r="C608">
        <v>641626.78</v>
      </c>
      <c r="D608">
        <v>7.3776465530872297</v>
      </c>
      <c r="E608">
        <v>43</v>
      </c>
      <c r="F608" t="s">
        <v>51</v>
      </c>
    </row>
    <row r="609" spans="1:6" x14ac:dyDescent="0.2">
      <c r="A609" t="s">
        <v>9</v>
      </c>
      <c r="B609">
        <v>5463.7399166609503</v>
      </c>
      <c r="C609">
        <v>601822.86</v>
      </c>
      <c r="D609">
        <v>7.7395614460786204</v>
      </c>
      <c r="E609">
        <v>43</v>
      </c>
      <c r="F609" t="s">
        <v>51</v>
      </c>
    </row>
    <row r="610" spans="1:6" x14ac:dyDescent="0.2">
      <c r="A610" t="s">
        <v>10</v>
      </c>
      <c r="B610">
        <v>5808.8092987516302</v>
      </c>
      <c r="C610">
        <v>75146.11</v>
      </c>
      <c r="D610">
        <v>9.5106034612337709</v>
      </c>
      <c r="E610">
        <v>43</v>
      </c>
      <c r="F610" t="s">
        <v>51</v>
      </c>
    </row>
    <row r="611" spans="1:6" x14ac:dyDescent="0.2">
      <c r="A611" t="s">
        <v>8</v>
      </c>
      <c r="B611">
        <v>6137.8696157096201</v>
      </c>
      <c r="C611">
        <v>16618.8</v>
      </c>
      <c r="D611">
        <v>9.6873567954381308</v>
      </c>
      <c r="E611">
        <v>43</v>
      </c>
      <c r="F611" t="s">
        <v>51</v>
      </c>
    </row>
    <row r="612" spans="1:6" x14ac:dyDescent="0.2">
      <c r="A612" t="s">
        <v>9</v>
      </c>
      <c r="B612">
        <v>6443.8822948943898</v>
      </c>
      <c r="C612">
        <v>272449.32</v>
      </c>
      <c r="D612">
        <v>8.7899990613937398</v>
      </c>
      <c r="E612">
        <v>43</v>
      </c>
      <c r="F612" t="s">
        <v>51</v>
      </c>
    </row>
    <row r="613" spans="1:6" x14ac:dyDescent="0.2">
      <c r="A613" t="s">
        <v>10</v>
      </c>
      <c r="B613">
        <v>2016.30131322231</v>
      </c>
      <c r="C613">
        <v>69222.679999999993</v>
      </c>
      <c r="D613">
        <v>0.87054953532218904</v>
      </c>
      <c r="E613">
        <v>44</v>
      </c>
      <c r="F613" t="s">
        <v>52</v>
      </c>
    </row>
    <row r="614" spans="1:6" x14ac:dyDescent="0.2">
      <c r="A614" t="s">
        <v>9</v>
      </c>
      <c r="B614">
        <v>2361.3474702114299</v>
      </c>
      <c r="C614">
        <v>85820.41</v>
      </c>
      <c r="D614">
        <v>1.0196155285517401</v>
      </c>
      <c r="E614">
        <v>44</v>
      </c>
      <c r="F614" t="s">
        <v>52</v>
      </c>
    </row>
    <row r="615" spans="1:6" x14ac:dyDescent="0.2">
      <c r="A615" t="s">
        <v>10</v>
      </c>
      <c r="B615">
        <v>2667.3770639368299</v>
      </c>
      <c r="C615">
        <v>236660.13</v>
      </c>
      <c r="D615">
        <v>1.38101222074827</v>
      </c>
      <c r="E615">
        <v>44</v>
      </c>
      <c r="F615" t="s">
        <v>52</v>
      </c>
    </row>
    <row r="616" spans="1:6" x14ac:dyDescent="0.2">
      <c r="A616" t="s">
        <v>9</v>
      </c>
      <c r="B616">
        <v>3012.4272162205698</v>
      </c>
      <c r="C616">
        <v>75655.42</v>
      </c>
      <c r="D616">
        <v>2.3071085945447298</v>
      </c>
      <c r="E616">
        <v>44</v>
      </c>
      <c r="F616" t="s">
        <v>52</v>
      </c>
    </row>
    <row r="617" spans="1:6" x14ac:dyDescent="0.2">
      <c r="A617" t="s">
        <v>8</v>
      </c>
      <c r="B617">
        <v>3318.4557694454602</v>
      </c>
      <c r="C617">
        <v>342287.98</v>
      </c>
      <c r="D617">
        <v>3.6623427943070701</v>
      </c>
      <c r="E617">
        <v>44</v>
      </c>
      <c r="F617" t="s">
        <v>52</v>
      </c>
    </row>
    <row r="618" spans="1:6" x14ac:dyDescent="0.2">
      <c r="A618" t="s">
        <v>9</v>
      </c>
      <c r="B618">
        <v>3647.5069053574598</v>
      </c>
      <c r="C618">
        <v>409635.25</v>
      </c>
      <c r="D618">
        <v>5.0088751530329398</v>
      </c>
      <c r="E618">
        <v>44</v>
      </c>
      <c r="F618" t="s">
        <v>52</v>
      </c>
    </row>
    <row r="619" spans="1:6" x14ac:dyDescent="0.2">
      <c r="A619" t="s">
        <v>8</v>
      </c>
      <c r="B619">
        <v>3953.5402889709599</v>
      </c>
      <c r="C619">
        <v>308305.78999999998</v>
      </c>
      <c r="D619">
        <v>5.8223578448772404</v>
      </c>
      <c r="E619">
        <v>44</v>
      </c>
      <c r="F619" t="s">
        <v>52</v>
      </c>
    </row>
    <row r="620" spans="1:6" x14ac:dyDescent="0.2">
      <c r="A620" t="s">
        <v>11</v>
      </c>
      <c r="B620">
        <v>4282.5946339904503</v>
      </c>
      <c r="C620">
        <v>639689.61</v>
      </c>
      <c r="D620">
        <v>6.3602637445608803</v>
      </c>
      <c r="E620">
        <v>44</v>
      </c>
      <c r="F620" t="s">
        <v>52</v>
      </c>
    </row>
    <row r="621" spans="1:6" x14ac:dyDescent="0.2">
      <c r="A621" t="s">
        <v>10</v>
      </c>
      <c r="B621">
        <v>4627.6346565963904</v>
      </c>
      <c r="C621">
        <v>135949.39000000001</v>
      </c>
      <c r="D621">
        <v>7.2871672606150302</v>
      </c>
      <c r="E621">
        <v>44</v>
      </c>
      <c r="F621" t="s">
        <v>52</v>
      </c>
    </row>
    <row r="622" spans="1:6" x14ac:dyDescent="0.2">
      <c r="A622" t="s">
        <v>6</v>
      </c>
      <c r="B622">
        <v>2870.3689998456498</v>
      </c>
      <c r="C622">
        <v>296931.13</v>
      </c>
      <c r="D622">
        <v>1.34938816981316</v>
      </c>
      <c r="E622">
        <v>45</v>
      </c>
      <c r="F622" t="s">
        <v>53</v>
      </c>
    </row>
    <row r="623" spans="1:6" x14ac:dyDescent="0.2">
      <c r="A623" t="s">
        <v>8</v>
      </c>
      <c r="B623">
        <v>3175.4083896329698</v>
      </c>
      <c r="C623">
        <v>425612.63</v>
      </c>
      <c r="D623">
        <v>2.2167643761316902</v>
      </c>
      <c r="E623">
        <v>45</v>
      </c>
      <c r="F623" t="s">
        <v>53</v>
      </c>
    </row>
    <row r="624" spans="1:6" x14ac:dyDescent="0.2">
      <c r="A624" t="s">
        <v>11</v>
      </c>
      <c r="B624">
        <v>3504.4597517524398</v>
      </c>
      <c r="C624">
        <v>635538.02</v>
      </c>
      <c r="D624">
        <v>3.9605501786549899</v>
      </c>
      <c r="E624">
        <v>45</v>
      </c>
      <c r="F624" t="s">
        <v>53</v>
      </c>
    </row>
    <row r="625" spans="1:6" x14ac:dyDescent="0.2">
      <c r="A625" t="s">
        <v>8</v>
      </c>
      <c r="B625">
        <v>3833.50121479891</v>
      </c>
      <c r="C625">
        <v>435896.12</v>
      </c>
      <c r="D625">
        <v>5.1308935439268701</v>
      </c>
      <c r="E625">
        <v>45</v>
      </c>
      <c r="F625" t="s">
        <v>53</v>
      </c>
    </row>
    <row r="626" spans="1:6" x14ac:dyDescent="0.2">
      <c r="A626" t="s">
        <v>10</v>
      </c>
      <c r="B626">
        <v>4178.5699960156198</v>
      </c>
      <c r="C626">
        <v>123643.63</v>
      </c>
      <c r="D626">
        <v>5.7319597537994396</v>
      </c>
      <c r="E626">
        <v>45</v>
      </c>
      <c r="F626" t="s">
        <v>53</v>
      </c>
    </row>
    <row r="627" spans="1:6" x14ac:dyDescent="0.2">
      <c r="A627" t="s">
        <v>6</v>
      </c>
      <c r="B627">
        <v>4483.5834167693802</v>
      </c>
      <c r="C627">
        <v>101282.77</v>
      </c>
      <c r="D627">
        <v>6.0031435604572296</v>
      </c>
      <c r="E627">
        <v>45</v>
      </c>
      <c r="F627" t="s">
        <v>53</v>
      </c>
    </row>
    <row r="628" spans="1:6" x14ac:dyDescent="0.2">
      <c r="A628" t="s">
        <v>6</v>
      </c>
      <c r="B628">
        <v>2040.31105859388</v>
      </c>
      <c r="C628">
        <v>179533.06</v>
      </c>
      <c r="D628">
        <v>1.0196155285517401</v>
      </c>
      <c r="E628">
        <v>46</v>
      </c>
      <c r="F628" t="s">
        <v>54</v>
      </c>
    </row>
    <row r="629" spans="1:6" x14ac:dyDescent="0.2">
      <c r="A629" t="s">
        <v>8</v>
      </c>
      <c r="B629">
        <v>2345.35634018978</v>
      </c>
      <c r="C629">
        <v>246600.49</v>
      </c>
      <c r="D629">
        <v>1.1686931864102701</v>
      </c>
      <c r="E629">
        <v>46</v>
      </c>
      <c r="F629" t="s">
        <v>54</v>
      </c>
    </row>
    <row r="630" spans="1:6" x14ac:dyDescent="0.2">
      <c r="A630" t="s">
        <v>10</v>
      </c>
      <c r="B630">
        <v>2674.4051350059699</v>
      </c>
      <c r="C630">
        <v>231032.93</v>
      </c>
      <c r="D630">
        <v>2.2800053115367902</v>
      </c>
      <c r="E630">
        <v>46</v>
      </c>
      <c r="F630" t="s">
        <v>54</v>
      </c>
    </row>
    <row r="631" spans="1:6" x14ac:dyDescent="0.2">
      <c r="A631" t="s">
        <v>9</v>
      </c>
      <c r="B631">
        <v>3019.4549137857798</v>
      </c>
      <c r="C631">
        <v>172588.67</v>
      </c>
      <c r="D631">
        <v>4.1096437529405003</v>
      </c>
      <c r="E631">
        <v>46</v>
      </c>
      <c r="F631" t="s">
        <v>54</v>
      </c>
    </row>
    <row r="632" spans="1:6" x14ac:dyDescent="0.2">
      <c r="A632" t="s">
        <v>6</v>
      </c>
      <c r="B632">
        <v>3325.4861941496501</v>
      </c>
      <c r="C632">
        <v>478583.21</v>
      </c>
      <c r="D632">
        <v>4.85975264466604</v>
      </c>
      <c r="E632">
        <v>46</v>
      </c>
      <c r="F632" t="s">
        <v>54</v>
      </c>
    </row>
    <row r="633" spans="1:6" x14ac:dyDescent="0.2">
      <c r="A633" t="s">
        <v>11</v>
      </c>
      <c r="B633">
        <v>3630.5236891115901</v>
      </c>
      <c r="C633">
        <v>633818.37</v>
      </c>
      <c r="D633">
        <v>5.1308935439268701</v>
      </c>
      <c r="E633">
        <v>46</v>
      </c>
      <c r="F633" t="s">
        <v>54</v>
      </c>
    </row>
    <row r="634" spans="1:6" x14ac:dyDescent="0.2">
      <c r="A634" t="s">
        <v>8</v>
      </c>
      <c r="B634">
        <v>3959.5660039518698</v>
      </c>
      <c r="C634">
        <v>174327.42</v>
      </c>
      <c r="D634">
        <v>6.0302656864801998</v>
      </c>
      <c r="E634">
        <v>46</v>
      </c>
      <c r="F634" t="s">
        <v>54</v>
      </c>
    </row>
    <row r="635" spans="1:6" x14ac:dyDescent="0.2">
      <c r="A635" t="s">
        <v>8</v>
      </c>
      <c r="B635">
        <v>4288.6313189729499</v>
      </c>
      <c r="C635">
        <v>234300.5</v>
      </c>
      <c r="D635">
        <v>7.1967074032306702</v>
      </c>
      <c r="E635">
        <v>46</v>
      </c>
      <c r="F635" t="s">
        <v>54</v>
      </c>
    </row>
    <row r="636" spans="1:6" x14ac:dyDescent="0.2">
      <c r="A636" t="s">
        <v>9</v>
      </c>
      <c r="B636">
        <v>4594.6659224764699</v>
      </c>
      <c r="C636">
        <v>445068.48</v>
      </c>
      <c r="D636">
        <v>7.4093134279727897</v>
      </c>
      <c r="E636">
        <v>46</v>
      </c>
      <c r="F636" t="s">
        <v>54</v>
      </c>
    </row>
    <row r="637" spans="1:6" x14ac:dyDescent="0.2">
      <c r="A637" t="s">
        <v>10</v>
      </c>
      <c r="B637">
        <v>4939.7210424959203</v>
      </c>
      <c r="C637">
        <v>506989.56</v>
      </c>
      <c r="D637">
        <v>7.7667061543146803</v>
      </c>
      <c r="E637">
        <v>46</v>
      </c>
      <c r="F637" t="s">
        <v>54</v>
      </c>
    </row>
    <row r="638" spans="1:6" x14ac:dyDescent="0.2">
      <c r="A638" t="s">
        <v>10</v>
      </c>
      <c r="B638">
        <v>5284.7735995584699</v>
      </c>
      <c r="C638">
        <v>250181.73</v>
      </c>
      <c r="D638">
        <v>8.1288176512400305</v>
      </c>
      <c r="E638">
        <v>46</v>
      </c>
      <c r="F638" t="s">
        <v>54</v>
      </c>
    </row>
    <row r="639" spans="1:6" x14ac:dyDescent="0.2">
      <c r="A639" t="s">
        <v>6</v>
      </c>
      <c r="B639">
        <v>5589.8171677043802</v>
      </c>
      <c r="C639">
        <v>383989.98</v>
      </c>
      <c r="D639">
        <v>8.3733119284788806</v>
      </c>
      <c r="E639">
        <v>46</v>
      </c>
      <c r="F639" t="s">
        <v>54</v>
      </c>
    </row>
    <row r="640" spans="1:6" x14ac:dyDescent="0.2">
      <c r="A640" t="s">
        <v>8</v>
      </c>
      <c r="B640">
        <v>5918.8665157410296</v>
      </c>
      <c r="C640">
        <v>456668.55</v>
      </c>
      <c r="D640">
        <v>8.9078380798975605</v>
      </c>
      <c r="E640">
        <v>46</v>
      </c>
      <c r="F640" t="s">
        <v>54</v>
      </c>
    </row>
    <row r="641" spans="1:6" x14ac:dyDescent="0.2">
      <c r="A641" t="s">
        <v>6</v>
      </c>
      <c r="B641">
        <v>6223.8835970026503</v>
      </c>
      <c r="C641">
        <v>110979.41</v>
      </c>
      <c r="D641">
        <v>9.0302120701154092</v>
      </c>
      <c r="E641">
        <v>46</v>
      </c>
      <c r="F641" t="s">
        <v>54</v>
      </c>
    </row>
    <row r="642" spans="1:6" x14ac:dyDescent="0.2">
      <c r="A642" t="s">
        <v>9</v>
      </c>
      <c r="B642">
        <v>6529.9307033529803</v>
      </c>
      <c r="C642">
        <v>223124.85</v>
      </c>
      <c r="D642">
        <v>9.2976035789330798</v>
      </c>
      <c r="E642">
        <v>46</v>
      </c>
      <c r="F642" t="s">
        <v>54</v>
      </c>
    </row>
    <row r="643" spans="1:6" x14ac:dyDescent="0.2">
      <c r="A643" t="s">
        <v>9</v>
      </c>
      <c r="B643">
        <v>3546.44802850625</v>
      </c>
      <c r="C643">
        <v>439369.98</v>
      </c>
      <c r="D643">
        <v>4.6473744447708096</v>
      </c>
      <c r="E643">
        <v>48</v>
      </c>
      <c r="F643" t="s">
        <v>55</v>
      </c>
    </row>
    <row r="644" spans="1:6" x14ac:dyDescent="0.2">
      <c r="A644" t="s">
        <v>6</v>
      </c>
      <c r="B644">
        <v>3852.47676694759</v>
      </c>
      <c r="C644">
        <v>290961.01</v>
      </c>
      <c r="D644">
        <v>5.3975297287782</v>
      </c>
      <c r="E644">
        <v>48</v>
      </c>
      <c r="F644" t="s">
        <v>55</v>
      </c>
    </row>
    <row r="645" spans="1:6" x14ac:dyDescent="0.2">
      <c r="A645" t="s">
        <v>11</v>
      </c>
      <c r="B645">
        <v>4157.50877205494</v>
      </c>
      <c r="C645">
        <v>596251.01</v>
      </c>
      <c r="D645">
        <v>5.9127516781965896</v>
      </c>
      <c r="E645">
        <v>48</v>
      </c>
      <c r="F645" t="s">
        <v>55</v>
      </c>
    </row>
    <row r="646" spans="1:6" x14ac:dyDescent="0.2">
      <c r="A646" t="s">
        <v>10</v>
      </c>
      <c r="B646">
        <v>4502.5559277012098</v>
      </c>
      <c r="C646">
        <v>501361</v>
      </c>
      <c r="D646">
        <v>6.4506761785030404</v>
      </c>
      <c r="E646">
        <v>48</v>
      </c>
      <c r="F646" t="s">
        <v>55</v>
      </c>
    </row>
    <row r="647" spans="1:6" x14ac:dyDescent="0.2">
      <c r="A647" t="s">
        <v>10</v>
      </c>
      <c r="B647">
        <v>4847.6079840697303</v>
      </c>
      <c r="C647">
        <v>454877.04</v>
      </c>
      <c r="D647">
        <v>6.8078124936103803</v>
      </c>
      <c r="E647">
        <v>48</v>
      </c>
      <c r="F647" t="s">
        <v>55</v>
      </c>
    </row>
    <row r="648" spans="1:6" x14ac:dyDescent="0.2">
      <c r="A648" t="s">
        <v>6</v>
      </c>
      <c r="B648">
        <v>5152.6536379662602</v>
      </c>
      <c r="C648">
        <v>425768.27</v>
      </c>
      <c r="D648">
        <v>7.1967074032306702</v>
      </c>
      <c r="E648">
        <v>48</v>
      </c>
      <c r="F648" t="s">
        <v>55</v>
      </c>
    </row>
    <row r="649" spans="1:6" x14ac:dyDescent="0.2">
      <c r="A649" t="s">
        <v>10</v>
      </c>
      <c r="B649">
        <v>5173.7284987295798</v>
      </c>
      <c r="C649">
        <v>255430.31</v>
      </c>
      <c r="D649">
        <v>8.4276596522013296</v>
      </c>
      <c r="E649">
        <v>49</v>
      </c>
      <c r="F649" t="s">
        <v>56</v>
      </c>
    </row>
    <row r="650" spans="1:6" x14ac:dyDescent="0.2">
      <c r="A650" t="s">
        <v>9</v>
      </c>
      <c r="B650">
        <v>5518.7890749278904</v>
      </c>
      <c r="C650">
        <v>373538.82</v>
      </c>
      <c r="D650">
        <v>8.8171853279749506</v>
      </c>
      <c r="E650">
        <v>49</v>
      </c>
      <c r="F650" t="s">
        <v>56</v>
      </c>
    </row>
    <row r="651" spans="1:6" x14ac:dyDescent="0.2">
      <c r="A651" t="s">
        <v>9</v>
      </c>
      <c r="B651">
        <v>5824.8119785937697</v>
      </c>
      <c r="C651">
        <v>441900.31</v>
      </c>
      <c r="D651">
        <v>9.0891361212412498</v>
      </c>
      <c r="E651">
        <v>49</v>
      </c>
      <c r="F651" t="s">
        <v>56</v>
      </c>
    </row>
    <row r="652" spans="1:6" x14ac:dyDescent="0.2">
      <c r="A652" t="s">
        <v>11</v>
      </c>
      <c r="B652">
        <v>6130.8468378781899</v>
      </c>
      <c r="C652">
        <v>588362.81999999995</v>
      </c>
      <c r="D652">
        <v>9.3610533849080397</v>
      </c>
      <c r="E652">
        <v>49</v>
      </c>
      <c r="F652" t="s">
        <v>56</v>
      </c>
    </row>
    <row r="653" spans="1:6" x14ac:dyDescent="0.2">
      <c r="A653" t="s">
        <v>10</v>
      </c>
      <c r="B653">
        <v>6475.8809667926498</v>
      </c>
      <c r="C653">
        <v>310503.67</v>
      </c>
      <c r="D653">
        <v>9.6601674453099609</v>
      </c>
      <c r="E653">
        <v>49</v>
      </c>
      <c r="F653" t="s">
        <v>56</v>
      </c>
    </row>
    <row r="654" spans="1:6" x14ac:dyDescent="0.2">
      <c r="A654" t="s">
        <v>10</v>
      </c>
      <c r="B654">
        <v>6820.9495483636401</v>
      </c>
      <c r="C654">
        <v>87815.1</v>
      </c>
      <c r="D654">
        <v>9.9004626706918106</v>
      </c>
      <c r="E654">
        <v>49</v>
      </c>
      <c r="F654" t="s">
        <v>56</v>
      </c>
    </row>
    <row r="655" spans="1:6" x14ac:dyDescent="0.2">
      <c r="A655" t="s">
        <v>9</v>
      </c>
      <c r="B655">
        <v>7126.9199324617903</v>
      </c>
      <c r="C655">
        <v>49929.5</v>
      </c>
      <c r="D655">
        <v>9.0891361212412498</v>
      </c>
      <c r="E655">
        <v>49</v>
      </c>
      <c r="F655" t="s">
        <v>56</v>
      </c>
    </row>
    <row r="656" spans="1:6" x14ac:dyDescent="0.2">
      <c r="A656" t="s">
        <v>8</v>
      </c>
      <c r="B656">
        <v>7455.9660805549402</v>
      </c>
      <c r="C656">
        <v>18722.13</v>
      </c>
      <c r="D656">
        <v>9.5695250208854699</v>
      </c>
      <c r="E656">
        <v>49</v>
      </c>
      <c r="F656" t="s">
        <v>56</v>
      </c>
    </row>
    <row r="657" spans="1:6" x14ac:dyDescent="0.2">
      <c r="A657" t="s">
        <v>8</v>
      </c>
      <c r="B657">
        <v>2627.3694026287699</v>
      </c>
      <c r="C657">
        <v>72669.33</v>
      </c>
      <c r="D657">
        <v>1.1686931864102701</v>
      </c>
      <c r="E657">
        <v>51</v>
      </c>
      <c r="F657" t="s">
        <v>57</v>
      </c>
    </row>
    <row r="658" spans="1:6" x14ac:dyDescent="0.2">
      <c r="A658" t="s">
        <v>8</v>
      </c>
      <c r="B658">
        <v>2956.4237234561001</v>
      </c>
      <c r="C658">
        <v>195762.75</v>
      </c>
      <c r="D658">
        <v>2.8492029364585898</v>
      </c>
      <c r="E658">
        <v>51</v>
      </c>
      <c r="F658" t="s">
        <v>57</v>
      </c>
    </row>
    <row r="659" spans="1:6" x14ac:dyDescent="0.2">
      <c r="A659" t="s">
        <v>8</v>
      </c>
      <c r="B659">
        <v>3285.4727910884699</v>
      </c>
      <c r="C659">
        <v>330618.95</v>
      </c>
      <c r="D659">
        <v>4.2316353773752802</v>
      </c>
      <c r="E659">
        <v>51</v>
      </c>
      <c r="F659" t="s">
        <v>57</v>
      </c>
    </row>
    <row r="660" spans="1:6" x14ac:dyDescent="0.2">
      <c r="A660" t="s">
        <v>6</v>
      </c>
      <c r="B660">
        <v>3614.5212871322501</v>
      </c>
      <c r="C660">
        <v>484453.61</v>
      </c>
      <c r="D660">
        <v>5.4291594202995297</v>
      </c>
      <c r="E660">
        <v>51</v>
      </c>
      <c r="F660" t="s">
        <v>57</v>
      </c>
    </row>
    <row r="661" spans="1:6" x14ac:dyDescent="0.2">
      <c r="A661" t="s">
        <v>10</v>
      </c>
      <c r="B661">
        <v>3919.5419650971498</v>
      </c>
      <c r="C661">
        <v>147528.32000000001</v>
      </c>
      <c r="D661">
        <v>5.8223578448772404</v>
      </c>
      <c r="E661">
        <v>51</v>
      </c>
      <c r="F661" t="s">
        <v>57</v>
      </c>
    </row>
    <row r="662" spans="1:6" x14ac:dyDescent="0.2">
      <c r="A662" t="s">
        <v>9</v>
      </c>
      <c r="B662">
        <v>4264.5909736764397</v>
      </c>
      <c r="C662">
        <v>122666.3</v>
      </c>
      <c r="D662">
        <v>6.3602637445608803</v>
      </c>
      <c r="E662">
        <v>51</v>
      </c>
      <c r="F662" t="s">
        <v>57</v>
      </c>
    </row>
    <row r="663" spans="1:6" x14ac:dyDescent="0.2">
      <c r="A663" t="s">
        <v>11</v>
      </c>
      <c r="B663">
        <v>4570.6486999654499</v>
      </c>
      <c r="C663">
        <v>578842.88</v>
      </c>
      <c r="D663">
        <v>6.96154171980222</v>
      </c>
      <c r="E663">
        <v>51</v>
      </c>
      <c r="F663" t="s">
        <v>57</v>
      </c>
    </row>
    <row r="664" spans="1:6" x14ac:dyDescent="0.2">
      <c r="A664" t="s">
        <v>6</v>
      </c>
      <c r="B664">
        <v>4875.6606071141096</v>
      </c>
      <c r="C664">
        <v>502325.53</v>
      </c>
      <c r="D664">
        <v>7.2600274618148797</v>
      </c>
      <c r="E664">
        <v>51</v>
      </c>
      <c r="F664" t="s">
        <v>57</v>
      </c>
    </row>
    <row r="665" spans="1:6" x14ac:dyDescent="0.2">
      <c r="A665" t="s">
        <v>6</v>
      </c>
      <c r="B665">
        <v>5180.6718115804697</v>
      </c>
      <c r="C665">
        <v>106843.9</v>
      </c>
      <c r="D665">
        <v>7.3776465530872297</v>
      </c>
      <c r="E665">
        <v>51</v>
      </c>
      <c r="F665" t="s">
        <v>57</v>
      </c>
    </row>
    <row r="666" spans="1:6" x14ac:dyDescent="0.2">
      <c r="A666" t="s">
        <v>9</v>
      </c>
      <c r="B666">
        <v>5486.6944041434599</v>
      </c>
      <c r="C666">
        <v>131255.57</v>
      </c>
      <c r="D666">
        <v>7.8300619359493204</v>
      </c>
      <c r="E666">
        <v>51</v>
      </c>
      <c r="F666" t="s">
        <v>57</v>
      </c>
    </row>
    <row r="667" spans="1:6" x14ac:dyDescent="0.2">
      <c r="A667" t="s">
        <v>9</v>
      </c>
      <c r="B667">
        <v>3143.4102251381901</v>
      </c>
      <c r="C667">
        <v>197358.16</v>
      </c>
      <c r="D667">
        <v>3.3912873859882402</v>
      </c>
      <c r="E667">
        <v>52</v>
      </c>
      <c r="F667" t="s">
        <v>58</v>
      </c>
    </row>
    <row r="668" spans="1:6" x14ac:dyDescent="0.2">
      <c r="A668" t="s">
        <v>11</v>
      </c>
      <c r="B668">
        <v>3449.4409445594401</v>
      </c>
      <c r="C668">
        <v>574806.47</v>
      </c>
      <c r="D668">
        <v>5.0721379712899504</v>
      </c>
      <c r="E668">
        <v>52</v>
      </c>
      <c r="F668" t="s">
        <v>58</v>
      </c>
    </row>
    <row r="669" spans="1:6" x14ac:dyDescent="0.2">
      <c r="A669" t="s">
        <v>10</v>
      </c>
      <c r="B669">
        <v>3794.49186032947</v>
      </c>
      <c r="C669">
        <v>404463.35</v>
      </c>
      <c r="D669">
        <v>5.2529161369482704</v>
      </c>
      <c r="E669">
        <v>52</v>
      </c>
      <c r="F669" t="s">
        <v>58</v>
      </c>
    </row>
    <row r="670" spans="1:6" x14ac:dyDescent="0.2">
      <c r="A670" t="s">
        <v>6</v>
      </c>
      <c r="B670">
        <v>4099.53390219635</v>
      </c>
      <c r="C670">
        <v>235147.43</v>
      </c>
      <c r="D670">
        <v>5.6415601447900103</v>
      </c>
      <c r="E670">
        <v>52</v>
      </c>
      <c r="F670" t="s">
        <v>58</v>
      </c>
    </row>
    <row r="671" spans="1:6" x14ac:dyDescent="0.2">
      <c r="A671" t="s">
        <v>9</v>
      </c>
      <c r="B671">
        <v>4405.5571126766699</v>
      </c>
      <c r="C671">
        <v>473673.06</v>
      </c>
      <c r="D671">
        <v>6.2382045622348796</v>
      </c>
      <c r="E671">
        <v>52</v>
      </c>
      <c r="F671" t="s">
        <v>58</v>
      </c>
    </row>
    <row r="672" spans="1:6" x14ac:dyDescent="0.2">
      <c r="A672" t="s">
        <v>10</v>
      </c>
      <c r="B672">
        <v>4750.6108731583699</v>
      </c>
      <c r="C672">
        <v>428830.36</v>
      </c>
      <c r="D672">
        <v>6.6902697598616303</v>
      </c>
      <c r="E672">
        <v>52</v>
      </c>
      <c r="F672" t="s">
        <v>58</v>
      </c>
    </row>
    <row r="673" spans="1:6" x14ac:dyDescent="0.2">
      <c r="A673" t="s">
        <v>10</v>
      </c>
      <c r="B673">
        <v>5095.65997250697</v>
      </c>
      <c r="C673">
        <v>564263.46</v>
      </c>
      <c r="D673">
        <v>7.0791212037881204</v>
      </c>
      <c r="E673">
        <v>52</v>
      </c>
      <c r="F673" t="s">
        <v>58</v>
      </c>
    </row>
    <row r="674" spans="1:6" x14ac:dyDescent="0.2">
      <c r="A674" t="s">
        <v>9</v>
      </c>
      <c r="B674">
        <v>5401.6906685881304</v>
      </c>
      <c r="C674">
        <v>371680.2</v>
      </c>
      <c r="D674">
        <v>7.4997938370386796</v>
      </c>
      <c r="E674">
        <v>52</v>
      </c>
      <c r="F674" t="s">
        <v>58</v>
      </c>
    </row>
    <row r="675" spans="1:6" x14ac:dyDescent="0.2">
      <c r="A675" t="s">
        <v>10</v>
      </c>
      <c r="B675">
        <v>5746.7459364654496</v>
      </c>
      <c r="C675">
        <v>245348.56</v>
      </c>
      <c r="D675">
        <v>7.8888968026320097</v>
      </c>
      <c r="E675">
        <v>52</v>
      </c>
      <c r="F675" t="s">
        <v>58</v>
      </c>
    </row>
    <row r="676" spans="1:6" x14ac:dyDescent="0.2">
      <c r="A676" t="s">
        <v>8</v>
      </c>
      <c r="B676">
        <v>6075.8075896651098</v>
      </c>
      <c r="C676">
        <v>26503.72</v>
      </c>
      <c r="D676">
        <v>9.6873567954381308</v>
      </c>
      <c r="E676">
        <v>52</v>
      </c>
      <c r="F676" t="s">
        <v>58</v>
      </c>
    </row>
    <row r="677" spans="1:6" x14ac:dyDescent="0.2">
      <c r="A677" t="s">
        <v>8</v>
      </c>
      <c r="B677">
        <v>4633.6862004915902</v>
      </c>
      <c r="C677">
        <v>397987.94</v>
      </c>
      <c r="D677">
        <v>7.3776465530872297</v>
      </c>
      <c r="E677">
        <v>53</v>
      </c>
      <c r="F677" t="s">
        <v>59</v>
      </c>
    </row>
    <row r="678" spans="1:6" x14ac:dyDescent="0.2">
      <c r="A678" t="s">
        <v>9</v>
      </c>
      <c r="B678">
        <v>4962.7404988927001</v>
      </c>
      <c r="C678">
        <v>58641.58</v>
      </c>
      <c r="D678">
        <v>7.9205819860776296</v>
      </c>
      <c r="E678">
        <v>53</v>
      </c>
      <c r="F678" t="s">
        <v>59</v>
      </c>
    </row>
    <row r="679" spans="1:6" x14ac:dyDescent="0.2">
      <c r="A679" t="s">
        <v>9</v>
      </c>
      <c r="B679">
        <v>5268.7730124812697</v>
      </c>
      <c r="C679">
        <v>218133.64</v>
      </c>
      <c r="D679">
        <v>8.4004820779641491</v>
      </c>
      <c r="E679">
        <v>53</v>
      </c>
      <c r="F679" t="s">
        <v>59</v>
      </c>
    </row>
    <row r="680" spans="1:6" x14ac:dyDescent="0.2">
      <c r="A680" t="s">
        <v>11</v>
      </c>
      <c r="B680">
        <v>5574.8001620578798</v>
      </c>
      <c r="C680">
        <v>571646.43000000005</v>
      </c>
      <c r="D680">
        <v>8.7628044779777508</v>
      </c>
      <c r="E680">
        <v>53</v>
      </c>
      <c r="F680" t="s">
        <v>59</v>
      </c>
    </row>
    <row r="681" spans="1:6" x14ac:dyDescent="0.2">
      <c r="A681" t="s">
        <v>6</v>
      </c>
      <c r="B681">
        <v>5879.8240232922099</v>
      </c>
      <c r="C681">
        <v>267318.12</v>
      </c>
      <c r="D681">
        <v>8.9984834865411099</v>
      </c>
      <c r="E681">
        <v>53</v>
      </c>
      <c r="F681" t="s">
        <v>59</v>
      </c>
    </row>
    <row r="682" spans="1:6" x14ac:dyDescent="0.2">
      <c r="A682" t="s">
        <v>8</v>
      </c>
      <c r="B682">
        <v>6208.8761173805997</v>
      </c>
      <c r="C682">
        <v>77103.820000000007</v>
      </c>
      <c r="D682">
        <v>9.3610533849080397</v>
      </c>
      <c r="E682">
        <v>53</v>
      </c>
      <c r="F682" t="s">
        <v>59</v>
      </c>
    </row>
    <row r="683" spans="1:6" x14ac:dyDescent="0.2">
      <c r="A683" t="s">
        <v>6</v>
      </c>
      <c r="B683">
        <v>6513.92417514507</v>
      </c>
      <c r="C683">
        <v>234300.49</v>
      </c>
      <c r="D683">
        <v>9.5695250208854699</v>
      </c>
      <c r="E683">
        <v>53</v>
      </c>
      <c r="F683" t="s">
        <v>59</v>
      </c>
    </row>
    <row r="684" spans="1:6" x14ac:dyDescent="0.2">
      <c r="A684" t="s">
        <v>6</v>
      </c>
      <c r="B684">
        <v>6818.9449103194502</v>
      </c>
      <c r="C684">
        <v>204986.74</v>
      </c>
      <c r="D684">
        <v>9.6601674453099609</v>
      </c>
      <c r="E684">
        <v>53</v>
      </c>
      <c r="F684" t="s">
        <v>59</v>
      </c>
    </row>
    <row r="685" spans="1:6" x14ac:dyDescent="0.2">
      <c r="A685" t="s">
        <v>9</v>
      </c>
      <c r="B685">
        <v>1617.2231375095901</v>
      </c>
      <c r="C685">
        <v>244903.25</v>
      </c>
      <c r="D685">
        <v>0.96089091854095499</v>
      </c>
      <c r="E685">
        <v>54</v>
      </c>
      <c r="F685" t="s">
        <v>60</v>
      </c>
    </row>
    <row r="686" spans="1:6" x14ac:dyDescent="0.2">
      <c r="A686" t="s">
        <v>6</v>
      </c>
      <c r="B686">
        <v>1923.24740121991</v>
      </c>
      <c r="C686">
        <v>85557.43</v>
      </c>
      <c r="D686">
        <v>1.2319364364623999</v>
      </c>
      <c r="E686">
        <v>54</v>
      </c>
      <c r="F686" t="s">
        <v>60</v>
      </c>
    </row>
    <row r="687" spans="1:6" x14ac:dyDescent="0.2">
      <c r="A687" t="s">
        <v>10</v>
      </c>
      <c r="B687">
        <v>2228.2965735767698</v>
      </c>
      <c r="C687">
        <v>127733.91</v>
      </c>
      <c r="D687">
        <v>1.5300949628830001</v>
      </c>
      <c r="E687">
        <v>54</v>
      </c>
      <c r="F687" t="s">
        <v>60</v>
      </c>
    </row>
    <row r="688" spans="1:6" x14ac:dyDescent="0.2">
      <c r="A688" t="s">
        <v>11</v>
      </c>
      <c r="B688">
        <v>2573.3415115908201</v>
      </c>
      <c r="C688">
        <v>564894.29</v>
      </c>
      <c r="D688">
        <v>2.3703532870292698</v>
      </c>
      <c r="E688">
        <v>54</v>
      </c>
      <c r="F688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0052-C94A-9A45-A0F1-5AFCE9B3CB84}">
  <dimension ref="A1"/>
  <sheetViews>
    <sheetView workbookViewId="0">
      <selection activeCell="A19" sqref="A19:A30"/>
    </sheetView>
  </sheetViews>
  <sheetFormatPr baseColWidth="10" defaultRowHeight="15" x14ac:dyDescent="0.2"/>
  <sheetData>
    <row r="1" spans="1:1" x14ac:dyDescent="0.2">
      <c r="A1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ECFE-82FE-684A-8BC8-84C1C9682B17}">
  <dimension ref="A1:M48"/>
  <sheetViews>
    <sheetView topLeftCell="A2" zoomScale="143" workbookViewId="0">
      <selection activeCell="H22" sqref="H22"/>
    </sheetView>
  </sheetViews>
  <sheetFormatPr baseColWidth="10" defaultRowHeight="15" x14ac:dyDescent="0.2"/>
  <sheetData>
    <row r="1" spans="1:11" x14ac:dyDescent="0.2">
      <c r="A1" t="s">
        <v>0</v>
      </c>
      <c r="B1" t="s">
        <v>239</v>
      </c>
      <c r="C1" t="s">
        <v>240</v>
      </c>
      <c r="D1" t="s">
        <v>1</v>
      </c>
      <c r="E1" t="s">
        <v>2</v>
      </c>
      <c r="F1" t="s">
        <v>3</v>
      </c>
      <c r="G1" t="s">
        <v>241</v>
      </c>
      <c r="K1">
        <f>306-62+306*19</f>
        <v>6058</v>
      </c>
    </row>
    <row r="2" spans="1:11" x14ac:dyDescent="0.2">
      <c r="A2" s="4" t="s">
        <v>9</v>
      </c>
      <c r="B2" s="4">
        <v>1548.1410000000001</v>
      </c>
      <c r="C2" s="4">
        <v>5</v>
      </c>
      <c r="D2" s="4">
        <v>1548.1369999999999</v>
      </c>
      <c r="E2" s="4">
        <v>217691.34</v>
      </c>
      <c r="F2" s="4">
        <v>0.71697869999999997</v>
      </c>
      <c r="G2" s="4">
        <v>6.2111689999999999</v>
      </c>
      <c r="I2">
        <f>5*306+18</f>
        <v>1548</v>
      </c>
    </row>
    <row r="3" spans="1:11" x14ac:dyDescent="0.2">
      <c r="A3" s="4" t="s">
        <v>9</v>
      </c>
      <c r="B3" s="4">
        <v>1854.1669999999999</v>
      </c>
      <c r="C3" s="4">
        <v>6</v>
      </c>
      <c r="D3" s="4">
        <v>1854.162</v>
      </c>
      <c r="E3" s="4">
        <v>815919.57</v>
      </c>
      <c r="F3" s="4">
        <v>0.78020909999999999</v>
      </c>
      <c r="G3" s="4">
        <v>23.279816100000001</v>
      </c>
    </row>
    <row r="4" spans="1:11" x14ac:dyDescent="0.2">
      <c r="A4" s="4" t="s">
        <v>9</v>
      </c>
      <c r="B4" s="4">
        <v>2160.192</v>
      </c>
      <c r="C4" s="4">
        <v>7</v>
      </c>
      <c r="D4" s="4">
        <v>2160.1889999999999</v>
      </c>
      <c r="E4" s="4">
        <v>808492.96</v>
      </c>
      <c r="F4" s="4">
        <v>0.89764949999999999</v>
      </c>
      <c r="G4" s="4">
        <v>23.067920000000001</v>
      </c>
    </row>
    <row r="5" spans="1:11" x14ac:dyDescent="0.2">
      <c r="A5" s="4" t="s">
        <v>9</v>
      </c>
      <c r="B5" s="4">
        <v>2466.2170000000001</v>
      </c>
      <c r="C5" s="4">
        <v>8</v>
      </c>
      <c r="D5" s="4">
        <v>2466.2150000000001</v>
      </c>
      <c r="E5" s="4">
        <v>1043318.72</v>
      </c>
      <c r="F5" s="4">
        <v>0.98799590000000004</v>
      </c>
      <c r="G5" s="4">
        <v>29.7679683</v>
      </c>
    </row>
    <row r="6" spans="1:11" x14ac:dyDescent="0.2">
      <c r="A6" s="4" t="s">
        <v>9</v>
      </c>
      <c r="B6" s="4">
        <v>2772.2429999999999</v>
      </c>
      <c r="C6" s="4">
        <v>9</v>
      </c>
      <c r="D6" s="4">
        <v>2772.24</v>
      </c>
      <c r="E6" s="4">
        <v>608194.57999999996</v>
      </c>
      <c r="F6" s="4">
        <v>1.2590414000000001</v>
      </c>
      <c r="G6" s="4">
        <v>17.3530069</v>
      </c>
    </row>
    <row r="7" spans="1:11" x14ac:dyDescent="0.2">
      <c r="A7" s="4" t="s">
        <v>9</v>
      </c>
      <c r="B7" s="4">
        <v>3078.268</v>
      </c>
      <c r="C7" s="4">
        <v>10</v>
      </c>
      <c r="D7" s="4">
        <v>3078.2660000000001</v>
      </c>
      <c r="E7" s="4">
        <v>702426.53</v>
      </c>
      <c r="F7" s="4">
        <v>2.2800053</v>
      </c>
      <c r="G7" s="4">
        <v>20.041632799999999</v>
      </c>
    </row>
    <row r="8" spans="1:11" x14ac:dyDescent="0.2">
      <c r="A8" s="4" t="s">
        <v>9</v>
      </c>
      <c r="B8" s="4">
        <v>3384.2930000000001</v>
      </c>
      <c r="C8" s="4">
        <v>11</v>
      </c>
      <c r="D8" s="4">
        <v>3384.2910000000002</v>
      </c>
      <c r="E8" s="4">
        <v>417818.64</v>
      </c>
      <c r="F8" s="4">
        <v>3.5719884</v>
      </c>
      <c r="G8" s="4">
        <v>11.921200900000001</v>
      </c>
    </row>
    <row r="9" spans="1:11" x14ac:dyDescent="0.2">
      <c r="A9" s="4" t="s">
        <v>9</v>
      </c>
      <c r="B9" s="4">
        <v>3690.319</v>
      </c>
      <c r="C9" s="4">
        <v>12</v>
      </c>
      <c r="D9" s="4">
        <v>3690.3159999999998</v>
      </c>
      <c r="E9" s="4">
        <v>429614.68</v>
      </c>
      <c r="F9" s="4">
        <v>4.4394992000000002</v>
      </c>
      <c r="G9" s="4">
        <v>12.2577655</v>
      </c>
    </row>
    <row r="10" spans="1:11" x14ac:dyDescent="0.2">
      <c r="A10" s="4" t="s">
        <v>9</v>
      </c>
      <c r="B10" s="4">
        <v>3996.3440000000001</v>
      </c>
      <c r="C10" s="4">
        <v>13</v>
      </c>
      <c r="D10" s="4">
        <v>3996.3429999999998</v>
      </c>
      <c r="E10" s="4">
        <v>209284.7</v>
      </c>
      <c r="F10" s="4">
        <v>5.1308935</v>
      </c>
      <c r="G10" s="4">
        <v>5.9713108000000004</v>
      </c>
    </row>
    <row r="11" spans="1:11" x14ac:dyDescent="0.2">
      <c r="A11" s="4" t="s">
        <v>9</v>
      </c>
      <c r="B11" s="4">
        <v>4302.3689999999997</v>
      </c>
      <c r="C11" s="4">
        <v>14</v>
      </c>
      <c r="D11" s="4">
        <v>4302.3670000000002</v>
      </c>
      <c r="E11" s="4">
        <v>237625.1</v>
      </c>
      <c r="F11" s="4">
        <v>5.7319598000000003</v>
      </c>
      <c r="G11" s="4">
        <v>6.7799189999999996</v>
      </c>
    </row>
    <row r="12" spans="1:11" x14ac:dyDescent="0.2">
      <c r="A12" s="4" t="s">
        <v>9</v>
      </c>
      <c r="B12" s="4">
        <v>4608.3950000000004</v>
      </c>
      <c r="C12" s="4">
        <v>15</v>
      </c>
      <c r="D12" s="4">
        <v>4608.3919999999998</v>
      </c>
      <c r="E12" s="4">
        <v>145952.07999999999</v>
      </c>
      <c r="F12" s="4">
        <v>6.2110808999999998</v>
      </c>
      <c r="G12" s="4">
        <v>4.1643046000000004</v>
      </c>
    </row>
    <row r="13" spans="1:11" x14ac:dyDescent="0.2">
      <c r="A13" s="4" t="s">
        <v>9</v>
      </c>
      <c r="B13" s="4">
        <v>4914.42</v>
      </c>
      <c r="C13" s="4">
        <v>16</v>
      </c>
      <c r="D13" s="4">
        <v>4914.4189999999999</v>
      </c>
      <c r="E13" s="4">
        <v>121810.47</v>
      </c>
      <c r="F13" s="4">
        <v>6.6631429999999998</v>
      </c>
      <c r="G13" s="4">
        <v>3.4754961999999998</v>
      </c>
    </row>
    <row r="14" spans="1:11" x14ac:dyDescent="0.2">
      <c r="A14" s="4" t="s">
        <v>9</v>
      </c>
      <c r="B14" s="4">
        <v>5220.4449999999997</v>
      </c>
      <c r="C14" s="4">
        <v>17</v>
      </c>
      <c r="D14" s="4">
        <v>5220.4449999999997</v>
      </c>
      <c r="E14" s="4">
        <v>39096.21</v>
      </c>
      <c r="F14" s="4">
        <v>7.0519885000000002</v>
      </c>
      <c r="G14" s="4">
        <v>1.1154930000000001</v>
      </c>
    </row>
    <row r="15" spans="1:11" x14ac:dyDescent="0.2">
      <c r="A15" s="4" t="s">
        <v>9</v>
      </c>
      <c r="B15" s="4">
        <v>5526.47</v>
      </c>
      <c r="C15" s="4">
        <v>18</v>
      </c>
      <c r="D15" s="4">
        <v>5526.4790000000003</v>
      </c>
      <c r="E15" s="4">
        <v>24868.32</v>
      </c>
      <c r="F15" s="4">
        <v>7.3776466000000003</v>
      </c>
      <c r="G15" s="4">
        <v>0.70954289999999998</v>
      </c>
    </row>
    <row r="16" spans="1:11" x14ac:dyDescent="0.2">
      <c r="A16" s="4" t="s">
        <v>9</v>
      </c>
      <c r="B16" s="4">
        <v>5832.4960000000001</v>
      </c>
      <c r="C16" s="4">
        <v>19</v>
      </c>
      <c r="D16" s="4">
        <v>5832.51</v>
      </c>
      <c r="E16" s="4">
        <v>15713.22</v>
      </c>
      <c r="F16" s="4">
        <v>7.712415</v>
      </c>
      <c r="G16" s="4">
        <v>0.44832959999999999</v>
      </c>
    </row>
    <row r="17" spans="1:13" s="8" customFormat="1" x14ac:dyDescent="0.2">
      <c r="A17" s="7" t="s">
        <v>9</v>
      </c>
      <c r="B17" s="7">
        <v>6138.5209999999997</v>
      </c>
      <c r="C17" s="7">
        <v>20</v>
      </c>
      <c r="D17" s="7">
        <v>6138.54</v>
      </c>
      <c r="E17" s="7">
        <v>13777.03</v>
      </c>
      <c r="F17" s="7">
        <v>7.9794204999999998</v>
      </c>
      <c r="G17" s="7">
        <v>0.3930862</v>
      </c>
      <c r="H17" s="8">
        <f>D17-D16</f>
        <v>306.02999999999975</v>
      </c>
      <c r="I17" s="8" t="s">
        <v>249</v>
      </c>
    </row>
    <row r="18" spans="1:13" s="3" customFormat="1" x14ac:dyDescent="0.2">
      <c r="C18" s="3">
        <f>20*306</f>
        <v>6120</v>
      </c>
      <c r="D18" s="6">
        <v>6076.79</v>
      </c>
      <c r="E18" s="6">
        <v>907254.63</v>
      </c>
      <c r="F18" s="6">
        <v>8.5499259999999992</v>
      </c>
      <c r="G18" s="6">
        <v>25.8857879</v>
      </c>
      <c r="H18" s="3">
        <f>D18-D17</f>
        <v>-61.75</v>
      </c>
      <c r="I18" s="3" t="s">
        <v>248</v>
      </c>
      <c r="L18" s="3">
        <f>E18/(E18+E17)</f>
        <v>0.98504174112755249</v>
      </c>
      <c r="M18" s="3">
        <f>1-L18</f>
        <v>1.4958258872447505E-2</v>
      </c>
    </row>
    <row r="19" spans="1:13" x14ac:dyDescent="0.2">
      <c r="B19">
        <f>B17+306</f>
        <v>6444.5209999999997</v>
      </c>
      <c r="D19">
        <f>D18-D16</f>
        <v>244.27999999999975</v>
      </c>
    </row>
    <row r="21" spans="1:13" x14ac:dyDescent="0.2">
      <c r="B21" t="s">
        <v>253</v>
      </c>
    </row>
    <row r="22" spans="1:13" s="10" customFormat="1" x14ac:dyDescent="0.2">
      <c r="A22" s="9" t="s">
        <v>9</v>
      </c>
      <c r="B22" s="9">
        <v>6444.5460000000003</v>
      </c>
      <c r="C22" s="9">
        <v>21</v>
      </c>
      <c r="D22" s="9">
        <v>6444.8670000000002</v>
      </c>
      <c r="E22" s="9">
        <v>1069060.77</v>
      </c>
      <c r="F22" s="9">
        <v>8.9984835000000007</v>
      </c>
      <c r="G22" s="9">
        <v>30.502440450000002</v>
      </c>
      <c r="H22" s="10" t="s">
        <v>250</v>
      </c>
    </row>
    <row r="23" spans="1:13" s="10" customFormat="1" x14ac:dyDescent="0.2">
      <c r="A23" s="9" t="s">
        <v>9</v>
      </c>
      <c r="B23" s="9">
        <v>6750.5720000000001</v>
      </c>
      <c r="C23" s="9">
        <v>22</v>
      </c>
      <c r="D23" s="9">
        <v>6750.893</v>
      </c>
      <c r="E23" s="9">
        <v>510126.47</v>
      </c>
      <c r="F23" s="9">
        <v>9.2432259999999999</v>
      </c>
      <c r="G23" s="9">
        <v>14.55492776</v>
      </c>
      <c r="H23" s="10" t="str">
        <f>H22</f>
        <v xml:space="preserve"> will require 50 ppm</v>
      </c>
    </row>
    <row r="24" spans="1:13" s="10" customFormat="1" x14ac:dyDescent="0.2">
      <c r="A24" s="9" t="s">
        <v>9</v>
      </c>
      <c r="B24" s="9">
        <v>7056.5969999999998</v>
      </c>
      <c r="C24" s="9">
        <v>23</v>
      </c>
      <c r="D24" s="9">
        <v>7056.9170000000004</v>
      </c>
      <c r="E24" s="9">
        <v>568101.68999999994</v>
      </c>
      <c r="F24" s="9">
        <v>9.5423349000000002</v>
      </c>
      <c r="G24" s="9">
        <v>16.20907665</v>
      </c>
      <c r="H24" s="10" t="str">
        <f t="shared" ref="H24:H26" si="0">H23</f>
        <v xml:space="preserve"> will require 50 ppm</v>
      </c>
    </row>
    <row r="25" spans="1:13" s="10" customFormat="1" x14ac:dyDescent="0.2">
      <c r="A25" s="9" t="s">
        <v>9</v>
      </c>
      <c r="B25" s="9">
        <v>7362.6220000000003</v>
      </c>
      <c r="C25" s="9">
        <v>24</v>
      </c>
      <c r="D25" s="9">
        <v>7362.9440000000004</v>
      </c>
      <c r="E25" s="9">
        <v>327911.65000000002</v>
      </c>
      <c r="F25" s="9">
        <v>9.7780419999999992</v>
      </c>
      <c r="G25" s="9">
        <v>9.3559747600000005</v>
      </c>
      <c r="H25" s="10" t="str">
        <f t="shared" si="0"/>
        <v xml:space="preserve"> will require 50 ppm</v>
      </c>
    </row>
    <row r="26" spans="1:13" s="10" customFormat="1" x14ac:dyDescent="0.2">
      <c r="A26" s="9" t="s">
        <v>9</v>
      </c>
      <c r="B26" s="9">
        <v>7668.6480000000001</v>
      </c>
      <c r="C26" s="9">
        <v>25</v>
      </c>
      <c r="D26" s="9">
        <v>7668.9769999999999</v>
      </c>
      <c r="E26" s="9">
        <v>39464.6</v>
      </c>
      <c r="F26" s="9">
        <v>10.1997324</v>
      </c>
      <c r="G26" s="9">
        <v>1.1260039100000001</v>
      </c>
      <c r="H26" s="10" t="str">
        <f t="shared" si="0"/>
        <v xml:space="preserve"> will require 50 ppm</v>
      </c>
    </row>
    <row r="28" spans="1:13" x14ac:dyDescent="0.2">
      <c r="B28" t="s">
        <v>252</v>
      </c>
    </row>
    <row r="29" spans="1:13" s="12" customFormat="1" x14ac:dyDescent="0.2">
      <c r="A29" s="11" t="s">
        <v>9</v>
      </c>
      <c r="B29" s="11">
        <v>3934.3879999999999</v>
      </c>
      <c r="C29" s="11">
        <v>13</v>
      </c>
      <c r="D29" s="11">
        <v>3934.529</v>
      </c>
      <c r="E29" s="11">
        <v>79759.820000000007</v>
      </c>
      <c r="F29" s="11">
        <v>5.2800289999999999</v>
      </c>
      <c r="G29" s="11">
        <v>2.2757071</v>
      </c>
      <c r="H29" s="12" t="s">
        <v>251</v>
      </c>
    </row>
    <row r="30" spans="1:13" s="12" customFormat="1" x14ac:dyDescent="0.2">
      <c r="A30" s="11" t="s">
        <v>9</v>
      </c>
      <c r="B30" s="11">
        <v>4240.4129999999996</v>
      </c>
      <c r="C30" s="11">
        <v>14</v>
      </c>
      <c r="D30" s="11">
        <v>4240.5640000000003</v>
      </c>
      <c r="E30" s="11">
        <v>169909.57</v>
      </c>
      <c r="F30" s="11">
        <v>5.9127520000000002</v>
      </c>
      <c r="G30" s="11">
        <v>4.8478595999999996</v>
      </c>
      <c r="H30" s="12" t="str">
        <f>H29</f>
        <v>will require 50 ppm</v>
      </c>
    </row>
    <row r="31" spans="1:13" s="12" customFormat="1" x14ac:dyDescent="0.2">
      <c r="A31" s="11" t="s">
        <v>9</v>
      </c>
      <c r="B31" s="11">
        <v>4546.4390000000003</v>
      </c>
      <c r="C31" s="11">
        <v>15</v>
      </c>
      <c r="D31" s="11">
        <v>4546.5969999999998</v>
      </c>
      <c r="E31" s="11">
        <v>255236.76</v>
      </c>
      <c r="F31" s="11">
        <v>6.4823199999999996</v>
      </c>
      <c r="G31" s="11">
        <v>7.2824149</v>
      </c>
      <c r="H31" s="12" t="str">
        <f t="shared" ref="H31:H36" si="1">H30</f>
        <v>will require 50 ppm</v>
      </c>
    </row>
    <row r="32" spans="1:13" s="12" customFormat="1" x14ac:dyDescent="0.2">
      <c r="A32" s="11" t="s">
        <v>9</v>
      </c>
      <c r="B32" s="11">
        <v>4852.4639999999999</v>
      </c>
      <c r="C32" s="11">
        <v>16</v>
      </c>
      <c r="D32" s="11">
        <v>4852.6710000000003</v>
      </c>
      <c r="E32" s="11">
        <v>347261.64</v>
      </c>
      <c r="F32" s="11">
        <v>7.0791209999999998</v>
      </c>
      <c r="G32" s="11">
        <v>9.9080686</v>
      </c>
      <c r="H32" s="12" t="str">
        <f t="shared" si="1"/>
        <v>will require 50 ppm</v>
      </c>
    </row>
    <row r="33" spans="1:8" s="12" customFormat="1" x14ac:dyDescent="0.2">
      <c r="A33" s="11" t="s">
        <v>9</v>
      </c>
      <c r="B33" s="11">
        <v>6076.5649999999996</v>
      </c>
      <c r="C33" s="11">
        <v>20</v>
      </c>
      <c r="D33" s="11">
        <v>6076.79</v>
      </c>
      <c r="E33" s="11">
        <v>907254.63</v>
      </c>
      <c r="F33" s="11">
        <v>8.5499259999999992</v>
      </c>
      <c r="G33" s="11">
        <v>25.8857879</v>
      </c>
      <c r="H33" s="12" t="str">
        <f t="shared" si="1"/>
        <v>will require 50 ppm</v>
      </c>
    </row>
    <row r="34" spans="1:8" s="12" customFormat="1" x14ac:dyDescent="0.2">
      <c r="A34" s="11" t="s">
        <v>9</v>
      </c>
      <c r="B34" s="11">
        <v>6382.5910000000003</v>
      </c>
      <c r="C34" s="11">
        <v>21</v>
      </c>
      <c r="D34" s="11">
        <v>6382.8230000000003</v>
      </c>
      <c r="E34" s="11">
        <v>671508.6</v>
      </c>
      <c r="F34" s="11">
        <v>8.8171850000000003</v>
      </c>
      <c r="G34" s="11">
        <v>19.159482499999999</v>
      </c>
      <c r="H34" s="12" t="str">
        <f t="shared" si="1"/>
        <v>will require 50 ppm</v>
      </c>
    </row>
    <row r="35" spans="1:8" s="12" customFormat="1" x14ac:dyDescent="0.2">
      <c r="A35" s="11" t="s">
        <v>9</v>
      </c>
      <c r="B35" s="11">
        <v>10972.97</v>
      </c>
      <c r="C35" s="11">
        <v>36</v>
      </c>
      <c r="D35" s="11">
        <v>10973.415000000001</v>
      </c>
      <c r="E35" s="11">
        <v>41915.81</v>
      </c>
      <c r="F35" s="11">
        <v>11.7287</v>
      </c>
      <c r="G35" s="11">
        <v>1.1959417999999999</v>
      </c>
      <c r="H35" s="12" t="str">
        <f t="shared" si="1"/>
        <v>will require 50 ppm</v>
      </c>
    </row>
    <row r="36" spans="1:8" s="12" customFormat="1" x14ac:dyDescent="0.2">
      <c r="A36" s="11" t="s">
        <v>9</v>
      </c>
      <c r="B36" s="11">
        <v>18011.552</v>
      </c>
      <c r="C36" s="11">
        <v>59</v>
      </c>
      <c r="D36" s="11">
        <v>18011.946</v>
      </c>
      <c r="E36" s="11">
        <v>5508.47</v>
      </c>
      <c r="F36" s="11">
        <v>16.319941</v>
      </c>
      <c r="G36" s="11">
        <v>0.15716769999999999</v>
      </c>
      <c r="H36" s="12" t="str">
        <f t="shared" si="1"/>
        <v>will require 50 ppm</v>
      </c>
    </row>
    <row r="38" spans="1:8" x14ac:dyDescent="0.2">
      <c r="A38" s="13"/>
      <c r="B38" t="s">
        <v>254</v>
      </c>
    </row>
    <row r="39" spans="1:8" s="15" customFormat="1" x14ac:dyDescent="0.2">
      <c r="A39" s="14" t="s">
        <v>9</v>
      </c>
      <c r="B39" s="14">
        <v>5140.4740000000002</v>
      </c>
      <c r="C39" s="14">
        <v>17</v>
      </c>
      <c r="D39" s="14">
        <v>5140.6610000000001</v>
      </c>
      <c r="E39" s="14">
        <v>320938.14</v>
      </c>
      <c r="F39" s="14">
        <v>7.3504990000000001</v>
      </c>
      <c r="G39" s="14">
        <v>9.1570066000000008</v>
      </c>
      <c r="H39" s="15" t="s">
        <v>251</v>
      </c>
    </row>
    <row r="40" spans="1:8" s="15" customFormat="1" x14ac:dyDescent="0.2">
      <c r="A40" s="14" t="s">
        <v>9</v>
      </c>
      <c r="B40" s="14">
        <v>5446.5</v>
      </c>
      <c r="C40" s="14">
        <v>18</v>
      </c>
      <c r="D40" s="14">
        <v>5446.69</v>
      </c>
      <c r="E40" s="14">
        <v>327582.65999999997</v>
      </c>
      <c r="F40" s="14">
        <v>7.7395610000000001</v>
      </c>
      <c r="G40" s="14">
        <v>9.3465880000000006</v>
      </c>
      <c r="H40" s="15" t="s">
        <v>251</v>
      </c>
    </row>
    <row r="41" spans="1:8" s="15" customFormat="1" x14ac:dyDescent="0.2">
      <c r="A41" s="14" t="s">
        <v>9</v>
      </c>
      <c r="B41" s="14">
        <v>5752.5249999999996</v>
      </c>
      <c r="C41" s="14">
        <v>19</v>
      </c>
      <c r="D41" s="14">
        <v>5752.7269999999999</v>
      </c>
      <c r="E41" s="14">
        <v>262323.27</v>
      </c>
      <c r="F41" s="14">
        <v>8.0382719999999992</v>
      </c>
      <c r="G41" s="14">
        <v>7.4846072000000001</v>
      </c>
      <c r="H41" s="15" t="s">
        <v>251</v>
      </c>
    </row>
    <row r="42" spans="1:8" s="15" customFormat="1" x14ac:dyDescent="0.2">
      <c r="A42" s="14" t="s">
        <v>9</v>
      </c>
      <c r="B42" s="14">
        <v>6058.55</v>
      </c>
      <c r="C42" s="14">
        <v>20</v>
      </c>
      <c r="D42" s="14">
        <v>6058.7730000000001</v>
      </c>
      <c r="E42" s="14">
        <v>62227.77</v>
      </c>
      <c r="F42" s="14">
        <v>8.3370870000000004</v>
      </c>
      <c r="G42" s="14">
        <v>1.7754825999999999</v>
      </c>
      <c r="H42" s="15" t="s">
        <v>251</v>
      </c>
    </row>
    <row r="43" spans="1:8" s="15" customFormat="1" x14ac:dyDescent="0.2">
      <c r="A43" s="14" t="s">
        <v>9</v>
      </c>
      <c r="B43" s="14">
        <v>6670.6009999999997</v>
      </c>
      <c r="C43" s="14">
        <v>22</v>
      </c>
      <c r="D43" s="14">
        <v>6670.8710000000001</v>
      </c>
      <c r="E43" s="14">
        <v>207554.78</v>
      </c>
      <c r="F43" s="14">
        <v>9.0302120000000006</v>
      </c>
      <c r="G43" s="14">
        <v>5.9219527000000003</v>
      </c>
      <c r="H43" s="15" t="s">
        <v>251</v>
      </c>
    </row>
    <row r="44" spans="1:8" s="15" customFormat="1" x14ac:dyDescent="0.2">
      <c r="A44" s="14" t="s">
        <v>9</v>
      </c>
      <c r="B44" s="14">
        <v>6976.6260000000002</v>
      </c>
      <c r="C44" s="14">
        <v>23</v>
      </c>
      <c r="D44" s="14">
        <v>6976.8950000000004</v>
      </c>
      <c r="E44" s="14">
        <v>401009.91999999998</v>
      </c>
      <c r="F44" s="14">
        <v>9.3293359999999996</v>
      </c>
      <c r="G44" s="14">
        <v>11.4416145</v>
      </c>
      <c r="H44" s="15" t="s">
        <v>251</v>
      </c>
    </row>
    <row r="45" spans="1:8" s="15" customFormat="1" x14ac:dyDescent="0.2">
      <c r="A45" s="14" t="s">
        <v>9</v>
      </c>
      <c r="B45" s="14">
        <v>7282.6509999999998</v>
      </c>
      <c r="C45" s="14">
        <v>24</v>
      </c>
      <c r="D45" s="14">
        <v>7282.9269999999997</v>
      </c>
      <c r="E45" s="14">
        <v>160932.85999999999</v>
      </c>
      <c r="F45" s="14">
        <v>9.5423349999999996</v>
      </c>
      <c r="G45" s="14">
        <v>4.5917361000000003</v>
      </c>
      <c r="H45" s="15" t="s">
        <v>251</v>
      </c>
    </row>
    <row r="46" spans="1:8" s="15" customFormat="1" x14ac:dyDescent="0.2">
      <c r="A46" s="14" t="s">
        <v>9</v>
      </c>
      <c r="B46" s="14">
        <v>11260.98</v>
      </c>
      <c r="C46" s="14">
        <v>37</v>
      </c>
      <c r="D46" s="14">
        <v>11261.424999999999</v>
      </c>
      <c r="E46" s="14">
        <v>31727.7</v>
      </c>
      <c r="F46" s="14">
        <v>11.819539000000001</v>
      </c>
      <c r="G46" s="14">
        <v>0.90525469999999997</v>
      </c>
      <c r="H46" s="15" t="s">
        <v>251</v>
      </c>
    </row>
    <row r="47" spans="1:8" s="15" customFormat="1" x14ac:dyDescent="0.2">
      <c r="A47" s="14" t="s">
        <v>9</v>
      </c>
      <c r="B47" s="14">
        <v>26562.244999999999</v>
      </c>
      <c r="C47" s="14">
        <v>87</v>
      </c>
      <c r="D47" s="14">
        <v>26562.217000000001</v>
      </c>
      <c r="E47" s="14">
        <v>4269.54</v>
      </c>
      <c r="F47" s="14">
        <v>17.217351000000001</v>
      </c>
      <c r="G47" s="14">
        <v>0.1218185</v>
      </c>
      <c r="H47" s="15" t="s">
        <v>251</v>
      </c>
    </row>
    <row r="48" spans="1:8" s="15" customFormat="1" x14ac:dyDescent="0.2">
      <c r="A48" s="14" t="s">
        <v>9</v>
      </c>
      <c r="B48" s="14">
        <v>26868.271000000001</v>
      </c>
      <c r="C48" s="14">
        <v>88</v>
      </c>
      <c r="D48" s="14">
        <v>26869.257000000001</v>
      </c>
      <c r="E48" s="14">
        <v>10732.58</v>
      </c>
      <c r="F48" s="14">
        <v>17.280988000000001</v>
      </c>
      <c r="G48" s="14">
        <v>0.30622199999999999</v>
      </c>
      <c r="H48" s="15" t="s">
        <v>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93EA-AA2C-554B-A295-B91ECE20207D}">
  <dimension ref="A1:G3"/>
  <sheetViews>
    <sheetView workbookViewId="0">
      <selection activeCell="F1" sqref="F1:G1"/>
    </sheetView>
  </sheetViews>
  <sheetFormatPr baseColWidth="10" defaultRowHeight="15" x14ac:dyDescent="0.2"/>
  <cols>
    <col min="1" max="2" width="14.5" bestFit="1" customWidth="1"/>
  </cols>
  <sheetData>
    <row r="1" spans="1:7" ht="20" x14ac:dyDescent="0.2">
      <c r="A1" t="s">
        <v>245</v>
      </c>
      <c r="B1" t="s">
        <v>246</v>
      </c>
      <c r="D1" t="s">
        <v>243</v>
      </c>
      <c r="E1" s="5">
        <v>58.933194</v>
      </c>
      <c r="F1" t="s">
        <v>244</v>
      </c>
      <c r="G1">
        <f>E1-1.006*2</f>
        <v>56.921194</v>
      </c>
    </row>
    <row r="2" spans="1:7" x14ac:dyDescent="0.2">
      <c r="A2">
        <v>252.87039999999999</v>
      </c>
      <c r="B2">
        <f>A2+G1</f>
        <v>309.79159399999998</v>
      </c>
    </row>
    <row r="3" spans="1:7" x14ac:dyDescent="0.2">
      <c r="A3" t="s">
        <v>247</v>
      </c>
      <c r="B3" t="s">
        <v>247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EA07-B860-0A49-8442-F81E8722A8D2}">
  <dimension ref="A1:T60"/>
  <sheetViews>
    <sheetView workbookViewId="0">
      <selection activeCell="I5" sqref="I5"/>
    </sheetView>
  </sheetViews>
  <sheetFormatPr baseColWidth="10" defaultRowHeight="15" x14ac:dyDescent="0.2"/>
  <cols>
    <col min="13" max="13" width="14.6640625" bestFit="1" customWidth="1"/>
    <col min="17" max="17" width="14.6640625" bestFit="1" customWidth="1"/>
  </cols>
  <sheetData>
    <row r="1" spans="1:20" x14ac:dyDescent="0.2">
      <c r="A1" t="s">
        <v>0</v>
      </c>
      <c r="B1" t="s">
        <v>239</v>
      </c>
      <c r="C1" t="s">
        <v>240</v>
      </c>
      <c r="D1" t="s">
        <v>1</v>
      </c>
      <c r="E1" t="s">
        <v>2</v>
      </c>
      <c r="F1" t="s">
        <v>3</v>
      </c>
      <c r="G1" t="s">
        <v>241</v>
      </c>
      <c r="J1" t="s">
        <v>258</v>
      </c>
      <c r="K1" t="s">
        <v>256</v>
      </c>
      <c r="L1" t="s">
        <v>257</v>
      </c>
      <c r="N1" t="s">
        <v>244</v>
      </c>
      <c r="O1">
        <v>56.921190000000003</v>
      </c>
      <c r="Q1" t="s">
        <v>258</v>
      </c>
      <c r="R1" s="4" t="s">
        <v>264</v>
      </c>
      <c r="S1" s="4">
        <v>97.976900000000001</v>
      </c>
      <c r="T1" s="4">
        <v>0</v>
      </c>
    </row>
    <row r="2" spans="1:20" x14ac:dyDescent="0.2">
      <c r="A2" s="19" t="s">
        <v>260</v>
      </c>
      <c r="B2" s="19"/>
      <c r="C2" s="19"/>
      <c r="D2" s="19"/>
      <c r="E2" s="19"/>
      <c r="F2" s="19"/>
      <c r="G2" s="19"/>
      <c r="H2" s="19"/>
      <c r="I2" s="12"/>
      <c r="J2" s="12" t="s">
        <v>259</v>
      </c>
      <c r="K2" s="12">
        <v>10</v>
      </c>
      <c r="L2" s="12" t="s">
        <v>260</v>
      </c>
      <c r="R2" s="4" t="s">
        <v>9</v>
      </c>
      <c r="S2" s="4">
        <v>404.00220000000002</v>
      </c>
      <c r="T2" s="4">
        <v>1</v>
      </c>
    </row>
    <row r="3" spans="1:20" x14ac:dyDescent="0.2">
      <c r="R3" s="4" t="s">
        <v>9</v>
      </c>
      <c r="S3" s="4">
        <v>710.02750000000003</v>
      </c>
      <c r="T3" s="4">
        <v>2</v>
      </c>
    </row>
    <row r="4" spans="1:20" x14ac:dyDescent="0.2">
      <c r="A4" s="14" t="s">
        <v>9</v>
      </c>
      <c r="B4" s="14">
        <v>4076.306</v>
      </c>
      <c r="C4" s="14">
        <v>13</v>
      </c>
      <c r="D4" s="14">
        <v>4076.5030000000002</v>
      </c>
      <c r="E4" s="14">
        <v>241925.32</v>
      </c>
      <c r="F4" s="14">
        <v>5.3387789999999997</v>
      </c>
      <c r="G4" s="14">
        <v>6.9026129000000003</v>
      </c>
      <c r="H4" s="15"/>
      <c r="I4" s="15"/>
      <c r="J4" s="15" t="s">
        <v>259</v>
      </c>
      <c r="K4" s="15">
        <v>50</v>
      </c>
      <c r="L4" s="15" t="s">
        <v>261</v>
      </c>
      <c r="R4" s="4" t="s">
        <v>9</v>
      </c>
      <c r="S4" s="4">
        <v>1016.0528</v>
      </c>
      <c r="T4" s="4">
        <v>3</v>
      </c>
    </row>
    <row r="5" spans="1:20" x14ac:dyDescent="0.2">
      <c r="A5" s="14" t="s">
        <v>9</v>
      </c>
      <c r="B5" s="14">
        <v>4382.3310000000001</v>
      </c>
      <c r="C5" s="14">
        <v>14</v>
      </c>
      <c r="D5" s="14">
        <v>4382.5339999999997</v>
      </c>
      <c r="E5" s="14">
        <v>341186.05</v>
      </c>
      <c r="F5" s="14">
        <v>5.9127520000000002</v>
      </c>
      <c r="G5" s="14">
        <v>9.7347199199999999</v>
      </c>
      <c r="H5" s="15"/>
      <c r="I5" s="15"/>
      <c r="J5" s="15"/>
      <c r="K5" s="15"/>
      <c r="L5" s="15"/>
      <c r="R5" s="4" t="s">
        <v>9</v>
      </c>
      <c r="S5" s="4">
        <v>1322.0780999999999</v>
      </c>
      <c r="T5" s="4">
        <v>4</v>
      </c>
    </row>
    <row r="6" spans="1:20" x14ac:dyDescent="0.2">
      <c r="A6" s="14" t="s">
        <v>9</v>
      </c>
      <c r="B6" s="14">
        <v>4688.3559999999998</v>
      </c>
      <c r="C6" s="14">
        <v>15</v>
      </c>
      <c r="D6" s="14">
        <v>4688.5630000000001</v>
      </c>
      <c r="E6" s="14">
        <v>264906.65000000002</v>
      </c>
      <c r="F6" s="14">
        <v>6.4190269999999998</v>
      </c>
      <c r="G6" s="14">
        <v>7.5583161800000003</v>
      </c>
      <c r="H6" s="15"/>
      <c r="I6" s="15"/>
      <c r="J6" s="15"/>
      <c r="K6" s="15"/>
      <c r="L6" s="15"/>
      <c r="R6" s="4" t="s">
        <v>9</v>
      </c>
      <c r="S6" s="4">
        <v>1628.1034</v>
      </c>
      <c r="T6" s="4">
        <v>5</v>
      </c>
    </row>
    <row r="7" spans="1:20" x14ac:dyDescent="0.2">
      <c r="A7" s="14" t="s">
        <v>9</v>
      </c>
      <c r="B7" s="14">
        <v>4994.3819999999996</v>
      </c>
      <c r="C7" s="14">
        <v>16</v>
      </c>
      <c r="D7" s="14">
        <v>4994.5780000000004</v>
      </c>
      <c r="E7" s="14">
        <v>161034.35999999999</v>
      </c>
      <c r="F7" s="14">
        <v>6.8711070000000003</v>
      </c>
      <c r="G7" s="14">
        <v>4.5946321399999999</v>
      </c>
      <c r="H7" s="15"/>
      <c r="I7" s="15"/>
      <c r="J7" s="15"/>
      <c r="K7" s="15"/>
      <c r="L7" s="15"/>
      <c r="R7" s="4" t="s">
        <v>9</v>
      </c>
      <c r="S7" s="4">
        <v>1934.1287</v>
      </c>
      <c r="T7" s="4">
        <v>6</v>
      </c>
    </row>
    <row r="8" spans="1:20" x14ac:dyDescent="0.2">
      <c r="A8" s="14" t="s">
        <v>9</v>
      </c>
      <c r="B8" s="14">
        <v>5300.4070000000002</v>
      </c>
      <c r="C8" s="14">
        <v>17</v>
      </c>
      <c r="D8" s="14">
        <v>5300.6040000000003</v>
      </c>
      <c r="E8" s="14">
        <v>97558.8</v>
      </c>
      <c r="F8" s="14">
        <v>7.2871670000000002</v>
      </c>
      <c r="G8" s="14">
        <v>2.7835475500000002</v>
      </c>
      <c r="H8" s="15"/>
      <c r="I8" s="15"/>
      <c r="J8" s="15"/>
      <c r="K8" s="15"/>
      <c r="L8" s="15"/>
      <c r="R8" s="4" t="s">
        <v>9</v>
      </c>
      <c r="S8" s="4">
        <v>2240.154</v>
      </c>
      <c r="T8" s="4">
        <v>7</v>
      </c>
    </row>
    <row r="9" spans="1:20" x14ac:dyDescent="0.2">
      <c r="A9" s="14" t="s">
        <v>9</v>
      </c>
      <c r="B9" s="14">
        <v>18073.499</v>
      </c>
      <c r="C9" s="14">
        <v>59</v>
      </c>
      <c r="D9" s="14">
        <v>18073.951000000001</v>
      </c>
      <c r="E9" s="14">
        <v>1315.32</v>
      </c>
      <c r="F9" s="14">
        <v>16.437601999999998</v>
      </c>
      <c r="G9" s="14">
        <v>3.752871E-2</v>
      </c>
      <c r="H9" s="15"/>
      <c r="I9" s="15"/>
      <c r="J9" s="15"/>
      <c r="K9" s="15"/>
      <c r="L9" s="15"/>
      <c r="R9" s="4" t="s">
        <v>9</v>
      </c>
      <c r="S9" s="4">
        <v>2546.1792999999998</v>
      </c>
      <c r="T9" s="4">
        <v>8</v>
      </c>
    </row>
    <row r="10" spans="1:20" x14ac:dyDescent="0.2">
      <c r="A10" s="13"/>
      <c r="R10" s="4" t="s">
        <v>9</v>
      </c>
      <c r="S10" s="4">
        <v>2852.2046</v>
      </c>
      <c r="T10" s="4">
        <v>9</v>
      </c>
    </row>
    <row r="11" spans="1:20" x14ac:dyDescent="0.2">
      <c r="A11" s="16" t="s">
        <v>9</v>
      </c>
      <c r="B11" s="16">
        <v>11783.86</v>
      </c>
      <c r="C11" s="16">
        <v>38</v>
      </c>
      <c r="D11" s="16">
        <v>11783.95</v>
      </c>
      <c r="E11" s="16">
        <v>46799.37</v>
      </c>
      <c r="F11" s="16">
        <v>14.90738</v>
      </c>
      <c r="G11" s="16">
        <v>1.33528</v>
      </c>
      <c r="H11" s="17"/>
      <c r="I11" s="17"/>
      <c r="J11" s="17" t="s">
        <v>262</v>
      </c>
      <c r="K11" s="17">
        <v>10</v>
      </c>
      <c r="L11" s="17" t="s">
        <v>263</v>
      </c>
      <c r="R11" s="4" t="s">
        <v>9</v>
      </c>
      <c r="S11" s="4">
        <v>3158.2298999999998</v>
      </c>
      <c r="T11" s="4">
        <v>10</v>
      </c>
    </row>
    <row r="12" spans="1:20" x14ac:dyDescent="0.2">
      <c r="A12" s="13"/>
      <c r="R12" s="4" t="s">
        <v>9</v>
      </c>
      <c r="S12" s="4">
        <v>3464.2552000000001</v>
      </c>
      <c r="T12" s="4">
        <v>11</v>
      </c>
    </row>
    <row r="13" spans="1:20" x14ac:dyDescent="0.2">
      <c r="A13" s="9" t="s">
        <v>9</v>
      </c>
      <c r="B13" s="9">
        <v>9947.7080000000005</v>
      </c>
      <c r="C13" s="9">
        <v>32</v>
      </c>
      <c r="D13" s="9">
        <v>9947.2909999999993</v>
      </c>
      <c r="E13" s="9">
        <v>30568.799999999999</v>
      </c>
      <c r="F13" s="9">
        <v>11.792289999999999</v>
      </c>
      <c r="G13" s="9">
        <v>0.87218899999999999</v>
      </c>
      <c r="H13" s="10"/>
      <c r="I13" s="10"/>
      <c r="J13" s="10" t="s">
        <v>262</v>
      </c>
      <c r="K13" s="10">
        <v>50</v>
      </c>
      <c r="L13" s="10" t="s">
        <v>265</v>
      </c>
      <c r="R13" s="4" t="s">
        <v>9</v>
      </c>
      <c r="S13" s="4">
        <v>3770.2804999999998</v>
      </c>
      <c r="T13" s="4">
        <v>12</v>
      </c>
    </row>
    <row r="14" spans="1:20" x14ac:dyDescent="0.2">
      <c r="A14" s="9" t="s">
        <v>9</v>
      </c>
      <c r="B14" s="9">
        <v>11783.859</v>
      </c>
      <c r="C14" s="9">
        <v>38</v>
      </c>
      <c r="D14" s="9">
        <v>11783.945</v>
      </c>
      <c r="E14" s="9">
        <v>46799.37</v>
      </c>
      <c r="F14" s="9">
        <v>14.90738</v>
      </c>
      <c r="G14" s="9">
        <v>1.33528</v>
      </c>
      <c r="H14" s="10"/>
      <c r="I14" s="10"/>
      <c r="J14" s="10"/>
      <c r="K14" s="10"/>
      <c r="L14" s="10"/>
      <c r="R14" s="4" t="s">
        <v>9</v>
      </c>
      <c r="S14" s="4">
        <v>4076.3058000000001</v>
      </c>
      <c r="T14" s="4">
        <v>13</v>
      </c>
    </row>
    <row r="15" spans="1:20" x14ac:dyDescent="0.2">
      <c r="R15" s="4" t="s">
        <v>9</v>
      </c>
      <c r="S15" s="4">
        <v>4382.3311000000003</v>
      </c>
      <c r="T15" s="4">
        <v>14</v>
      </c>
    </row>
    <row r="16" spans="1:20" x14ac:dyDescent="0.2">
      <c r="R16" s="4" t="s">
        <v>9</v>
      </c>
      <c r="S16" s="4">
        <v>4688.3563999999997</v>
      </c>
      <c r="T16" s="4">
        <v>15</v>
      </c>
    </row>
    <row r="17" spans="18:20" x14ac:dyDescent="0.2">
      <c r="R17" s="4" t="s">
        <v>9</v>
      </c>
      <c r="S17" s="4">
        <v>4994.3816999999999</v>
      </c>
      <c r="T17" s="4">
        <v>16</v>
      </c>
    </row>
    <row r="18" spans="18:20" x14ac:dyDescent="0.2">
      <c r="R18" s="4" t="s">
        <v>9</v>
      </c>
      <c r="S18" s="4">
        <v>5300.4070000000002</v>
      </c>
      <c r="T18" s="4">
        <v>17</v>
      </c>
    </row>
    <row r="19" spans="18:20" x14ac:dyDescent="0.2">
      <c r="R19" s="4" t="s">
        <v>9</v>
      </c>
      <c r="S19" s="4">
        <v>5606.4323000000004</v>
      </c>
      <c r="T19" s="4">
        <v>18</v>
      </c>
    </row>
    <row r="20" spans="18:20" x14ac:dyDescent="0.2">
      <c r="R20" s="4" t="s">
        <v>9</v>
      </c>
      <c r="S20" s="4">
        <v>5912.4575999999997</v>
      </c>
      <c r="T20" s="4">
        <v>19</v>
      </c>
    </row>
    <row r="21" spans="18:20" x14ac:dyDescent="0.2">
      <c r="R21" s="4" t="s">
        <v>9</v>
      </c>
      <c r="S21" s="4">
        <v>6218.4829</v>
      </c>
      <c r="T21" s="4">
        <v>20</v>
      </c>
    </row>
    <row r="22" spans="18:20" x14ac:dyDescent="0.2">
      <c r="R22" s="4" t="s">
        <v>9</v>
      </c>
      <c r="S22" s="4">
        <v>6524.5082000000002</v>
      </c>
      <c r="T22" s="4">
        <v>21</v>
      </c>
    </row>
    <row r="23" spans="18:20" x14ac:dyDescent="0.2">
      <c r="R23" s="4" t="s">
        <v>9</v>
      </c>
      <c r="S23" s="4">
        <v>6830.5334999999995</v>
      </c>
      <c r="T23" s="4">
        <v>22</v>
      </c>
    </row>
    <row r="24" spans="18:20" x14ac:dyDescent="0.2">
      <c r="R24" s="4" t="s">
        <v>9</v>
      </c>
      <c r="S24" s="4">
        <v>7136.5587999999998</v>
      </c>
      <c r="T24" s="4">
        <v>23</v>
      </c>
    </row>
    <row r="25" spans="18:20" x14ac:dyDescent="0.2">
      <c r="R25" s="4" t="s">
        <v>9</v>
      </c>
      <c r="S25" s="4">
        <v>7442.5841</v>
      </c>
      <c r="T25" s="4">
        <v>24</v>
      </c>
    </row>
    <row r="26" spans="18:20" x14ac:dyDescent="0.2">
      <c r="R26" s="4" t="s">
        <v>9</v>
      </c>
      <c r="S26" s="4">
        <v>7748.6094000000003</v>
      </c>
      <c r="T26" s="4">
        <v>25</v>
      </c>
    </row>
    <row r="27" spans="18:20" x14ac:dyDescent="0.2">
      <c r="R27" s="4" t="s">
        <v>9</v>
      </c>
      <c r="S27" s="4">
        <v>8054.6346999999996</v>
      </c>
      <c r="T27" s="4">
        <v>26</v>
      </c>
    </row>
    <row r="28" spans="18:20" x14ac:dyDescent="0.2">
      <c r="R28" s="4" t="s">
        <v>9</v>
      </c>
      <c r="S28" s="4">
        <v>8360.66</v>
      </c>
      <c r="T28" s="4">
        <v>27</v>
      </c>
    </row>
    <row r="29" spans="18:20" x14ac:dyDescent="0.2">
      <c r="R29" s="4" t="s">
        <v>9</v>
      </c>
      <c r="S29" s="4">
        <v>8666.6852999999992</v>
      </c>
      <c r="T29" s="4">
        <v>28</v>
      </c>
    </row>
    <row r="30" spans="18:20" x14ac:dyDescent="0.2">
      <c r="R30" s="4" t="s">
        <v>9</v>
      </c>
      <c r="S30" s="4">
        <v>8972.7106000000003</v>
      </c>
      <c r="T30" s="4">
        <v>29</v>
      </c>
    </row>
    <row r="31" spans="18:20" x14ac:dyDescent="0.2">
      <c r="R31" s="4" t="s">
        <v>9</v>
      </c>
      <c r="S31" s="4">
        <v>9278.7358999999997</v>
      </c>
      <c r="T31" s="4">
        <v>30</v>
      </c>
    </row>
    <row r="32" spans="18:20" x14ac:dyDescent="0.2">
      <c r="R32" s="4" t="s">
        <v>9</v>
      </c>
      <c r="S32" s="4">
        <v>9584.7612000000008</v>
      </c>
      <c r="T32" s="4">
        <v>31</v>
      </c>
    </row>
    <row r="33" spans="18:20" x14ac:dyDescent="0.2">
      <c r="R33" s="4" t="s">
        <v>9</v>
      </c>
      <c r="S33" s="4">
        <v>9890.7865000000002</v>
      </c>
      <c r="T33" s="4">
        <v>32</v>
      </c>
    </row>
    <row r="34" spans="18:20" x14ac:dyDescent="0.2">
      <c r="R34" s="4" t="s">
        <v>9</v>
      </c>
      <c r="S34" s="4">
        <v>10196.811799999999</v>
      </c>
      <c r="T34" s="4">
        <v>33</v>
      </c>
    </row>
    <row r="35" spans="18:20" x14ac:dyDescent="0.2">
      <c r="R35" s="4" t="s">
        <v>9</v>
      </c>
      <c r="S35" s="4">
        <v>10502.837100000001</v>
      </c>
      <c r="T35" s="4">
        <v>34</v>
      </c>
    </row>
    <row r="36" spans="18:20" x14ac:dyDescent="0.2">
      <c r="R36" s="4" t="s">
        <v>9</v>
      </c>
      <c r="S36" s="4">
        <v>10808.8624</v>
      </c>
      <c r="T36" s="4">
        <v>35</v>
      </c>
    </row>
    <row r="37" spans="18:20" x14ac:dyDescent="0.2">
      <c r="R37" s="4" t="s">
        <v>9</v>
      </c>
      <c r="S37" s="4">
        <v>11114.887699999999</v>
      </c>
      <c r="T37" s="4">
        <v>36</v>
      </c>
    </row>
    <row r="38" spans="18:20" x14ac:dyDescent="0.2">
      <c r="R38" s="4" t="s">
        <v>9</v>
      </c>
      <c r="S38" s="4">
        <v>11420.913</v>
      </c>
      <c r="T38" s="4">
        <v>37</v>
      </c>
    </row>
    <row r="39" spans="18:20" x14ac:dyDescent="0.2">
      <c r="R39" s="4" t="s">
        <v>9</v>
      </c>
      <c r="S39" s="4">
        <v>11726.9383</v>
      </c>
      <c r="T39" s="4">
        <v>38</v>
      </c>
    </row>
    <row r="40" spans="18:20" x14ac:dyDescent="0.2">
      <c r="R40" s="4" t="s">
        <v>9</v>
      </c>
      <c r="S40" s="4">
        <v>12032.963599999999</v>
      </c>
      <c r="T40" s="4">
        <v>39</v>
      </c>
    </row>
    <row r="41" spans="18:20" x14ac:dyDescent="0.2">
      <c r="R41" s="4" t="s">
        <v>9</v>
      </c>
      <c r="S41" s="4">
        <v>12338.9889</v>
      </c>
      <c r="T41" s="4">
        <v>40</v>
      </c>
    </row>
    <row r="42" spans="18:20" x14ac:dyDescent="0.2">
      <c r="R42" s="4" t="s">
        <v>9</v>
      </c>
      <c r="S42" s="4">
        <v>12645.0142</v>
      </c>
      <c r="T42" s="4">
        <v>41</v>
      </c>
    </row>
    <row r="43" spans="18:20" x14ac:dyDescent="0.2">
      <c r="R43" s="4" t="s">
        <v>9</v>
      </c>
      <c r="S43" s="4">
        <v>12951.039500000001</v>
      </c>
      <c r="T43" s="4">
        <v>42</v>
      </c>
    </row>
    <row r="44" spans="18:20" x14ac:dyDescent="0.2">
      <c r="R44" s="4" t="s">
        <v>9</v>
      </c>
      <c r="S44" s="4">
        <v>13257.0648</v>
      </c>
      <c r="T44" s="4">
        <v>43</v>
      </c>
    </row>
    <row r="45" spans="18:20" x14ac:dyDescent="0.2">
      <c r="R45" s="4" t="s">
        <v>9</v>
      </c>
      <c r="S45" s="4">
        <v>13563.090099999999</v>
      </c>
      <c r="T45" s="4">
        <v>44</v>
      </c>
    </row>
    <row r="46" spans="18:20" x14ac:dyDescent="0.2">
      <c r="R46" s="4" t="s">
        <v>9</v>
      </c>
      <c r="S46" s="4">
        <v>13869.115400000001</v>
      </c>
      <c r="T46" s="4">
        <v>45</v>
      </c>
    </row>
    <row r="47" spans="18:20" x14ac:dyDescent="0.2">
      <c r="R47" s="4" t="s">
        <v>9</v>
      </c>
      <c r="S47" s="4">
        <v>14175.1407</v>
      </c>
      <c r="T47" s="4">
        <v>46</v>
      </c>
    </row>
    <row r="48" spans="18:20" x14ac:dyDescent="0.2">
      <c r="R48" s="4" t="s">
        <v>9</v>
      </c>
      <c r="S48" s="4">
        <v>14481.165999999999</v>
      </c>
      <c r="T48" s="4">
        <v>47</v>
      </c>
    </row>
    <row r="49" spans="18:20" x14ac:dyDescent="0.2">
      <c r="R49" s="4" t="s">
        <v>9</v>
      </c>
      <c r="S49" s="4">
        <v>14787.1913</v>
      </c>
      <c r="T49" s="4">
        <v>48</v>
      </c>
    </row>
    <row r="50" spans="18:20" x14ac:dyDescent="0.2">
      <c r="R50" s="4" t="s">
        <v>9</v>
      </c>
      <c r="S50" s="4">
        <v>15093.2166</v>
      </c>
      <c r="T50" s="4">
        <v>49</v>
      </c>
    </row>
    <row r="51" spans="18:20" x14ac:dyDescent="0.2">
      <c r="R51" s="4" t="s">
        <v>9</v>
      </c>
      <c r="S51" s="4">
        <v>15399.241900000001</v>
      </c>
      <c r="T51" s="4">
        <v>50</v>
      </c>
    </row>
    <row r="52" spans="18:20" x14ac:dyDescent="0.2">
      <c r="R52" s="4" t="s">
        <v>9</v>
      </c>
      <c r="S52" s="4">
        <v>15705.2672</v>
      </c>
      <c r="T52" s="4">
        <v>51</v>
      </c>
    </row>
    <row r="53" spans="18:20" x14ac:dyDescent="0.2">
      <c r="R53" s="4" t="s">
        <v>9</v>
      </c>
      <c r="S53" s="4">
        <v>16011.2925</v>
      </c>
      <c r="T53" s="4">
        <v>52</v>
      </c>
    </row>
    <row r="54" spans="18:20" x14ac:dyDescent="0.2">
      <c r="R54" s="4" t="s">
        <v>9</v>
      </c>
      <c r="S54" s="4">
        <v>16317.317800000001</v>
      </c>
      <c r="T54" s="4">
        <v>53</v>
      </c>
    </row>
    <row r="55" spans="18:20" x14ac:dyDescent="0.2">
      <c r="R55" s="4" t="s">
        <v>9</v>
      </c>
      <c r="S55" s="4">
        <v>16623.343099999998</v>
      </c>
      <c r="T55" s="4">
        <v>54</v>
      </c>
    </row>
    <row r="56" spans="18:20" x14ac:dyDescent="0.2">
      <c r="R56" s="4" t="s">
        <v>9</v>
      </c>
      <c r="S56" s="4">
        <v>16929.368399999999</v>
      </c>
      <c r="T56" s="4">
        <v>55</v>
      </c>
    </row>
    <row r="57" spans="18:20" x14ac:dyDescent="0.2">
      <c r="R57" s="4" t="s">
        <v>9</v>
      </c>
      <c r="S57" s="4">
        <v>17235.393700000001</v>
      </c>
      <c r="T57" s="4">
        <v>56</v>
      </c>
    </row>
    <row r="58" spans="18:20" x14ac:dyDescent="0.2">
      <c r="R58" s="4" t="s">
        <v>9</v>
      </c>
      <c r="S58" s="4">
        <v>17541.419000000002</v>
      </c>
      <c r="T58" s="4">
        <v>57</v>
      </c>
    </row>
    <row r="59" spans="18:20" x14ac:dyDescent="0.2">
      <c r="R59" s="4" t="s">
        <v>9</v>
      </c>
      <c r="S59" s="4">
        <v>17847.444299999999</v>
      </c>
      <c r="T59" s="4">
        <v>58</v>
      </c>
    </row>
    <row r="60" spans="18:20" x14ac:dyDescent="0.2">
      <c r="R60" s="4" t="s">
        <v>9</v>
      </c>
      <c r="S60" s="4">
        <v>18073.498500000002</v>
      </c>
      <c r="T60" s="4">
        <v>59</v>
      </c>
    </row>
  </sheetData>
  <mergeCells count="1"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AB9A-5ABD-B34C-8C58-90545937BBE5}">
  <dimension ref="A1:T97"/>
  <sheetViews>
    <sheetView workbookViewId="0">
      <selection activeCell="I29" sqref="I29"/>
    </sheetView>
  </sheetViews>
  <sheetFormatPr baseColWidth="10" defaultRowHeight="15" x14ac:dyDescent="0.2"/>
  <cols>
    <col min="17" max="17" width="18" bestFit="1" customWidth="1"/>
  </cols>
  <sheetData>
    <row r="1" spans="1:20" x14ac:dyDescent="0.2">
      <c r="A1" t="s">
        <v>0</v>
      </c>
      <c r="B1" t="s">
        <v>239</v>
      </c>
      <c r="C1" t="s">
        <v>240</v>
      </c>
      <c r="D1" t="s">
        <v>1</v>
      </c>
      <c r="E1" t="s">
        <v>2</v>
      </c>
      <c r="F1" t="s">
        <v>3</v>
      </c>
      <c r="G1" t="s">
        <v>241</v>
      </c>
      <c r="Q1" s="13" t="s">
        <v>267</v>
      </c>
      <c r="R1" s="4" t="s">
        <v>266</v>
      </c>
      <c r="S1" s="4">
        <v>18.015000000000001</v>
      </c>
      <c r="T1" s="4">
        <v>0</v>
      </c>
    </row>
    <row r="2" spans="1:20" x14ac:dyDescent="0.2">
      <c r="A2" s="4" t="s">
        <v>9</v>
      </c>
      <c r="B2" s="4">
        <v>1548.1410000000001</v>
      </c>
      <c r="C2" s="4">
        <v>5</v>
      </c>
      <c r="D2" s="4">
        <v>1548.1369999999999</v>
      </c>
      <c r="E2" s="4">
        <v>217691.34</v>
      </c>
      <c r="F2" s="4">
        <v>0.71697869999999997</v>
      </c>
      <c r="G2" s="4">
        <v>6.2111689999999999</v>
      </c>
      <c r="H2" s="13"/>
      <c r="Q2" s="13"/>
      <c r="R2" s="4" t="s">
        <v>9</v>
      </c>
      <c r="S2" s="4">
        <v>324.0403</v>
      </c>
      <c r="T2" s="4">
        <v>1</v>
      </c>
    </row>
    <row r="3" spans="1:20" x14ac:dyDescent="0.2">
      <c r="A3" s="4" t="s">
        <v>9</v>
      </c>
      <c r="B3" s="4">
        <v>1854.1669999999999</v>
      </c>
      <c r="C3" s="4">
        <v>6</v>
      </c>
      <c r="D3" s="4">
        <v>1854.162</v>
      </c>
      <c r="E3" s="4">
        <v>815919.57</v>
      </c>
      <c r="F3" s="4">
        <v>0.78020909999999999</v>
      </c>
      <c r="G3" s="4">
        <v>23.279816100000001</v>
      </c>
      <c r="Q3" s="13"/>
      <c r="R3" s="4" t="s">
        <v>9</v>
      </c>
      <c r="S3" s="4">
        <v>630.06560000000002</v>
      </c>
      <c r="T3" s="4">
        <v>2</v>
      </c>
    </row>
    <row r="4" spans="1:20" x14ac:dyDescent="0.2">
      <c r="A4" s="4" t="s">
        <v>9</v>
      </c>
      <c r="B4" s="4">
        <v>2160.192</v>
      </c>
      <c r="C4" s="4">
        <v>7</v>
      </c>
      <c r="D4" s="4">
        <v>2160.1889999999999</v>
      </c>
      <c r="E4" s="4">
        <v>808492.96</v>
      </c>
      <c r="F4" s="4">
        <v>0.89764949999999999</v>
      </c>
      <c r="G4" s="4">
        <v>23.067920000000001</v>
      </c>
      <c r="Q4" s="13"/>
      <c r="R4" s="4" t="s">
        <v>9</v>
      </c>
      <c r="S4" s="4">
        <v>936.09090000000003</v>
      </c>
      <c r="T4" s="4">
        <v>3</v>
      </c>
    </row>
    <row r="5" spans="1:20" x14ac:dyDescent="0.2">
      <c r="A5" s="4" t="s">
        <v>9</v>
      </c>
      <c r="B5" s="4">
        <v>2466.2170000000001</v>
      </c>
      <c r="C5" s="4">
        <v>8</v>
      </c>
      <c r="D5" s="4">
        <v>2466.2150000000001</v>
      </c>
      <c r="E5" s="4">
        <v>1043318.72</v>
      </c>
      <c r="F5" s="4">
        <v>0.98799590000000004</v>
      </c>
      <c r="G5" s="4">
        <v>29.7679683</v>
      </c>
      <c r="Q5" s="13"/>
      <c r="R5" s="4" t="s">
        <v>9</v>
      </c>
      <c r="S5" s="4">
        <v>1242.1161999999999</v>
      </c>
      <c r="T5" s="4">
        <v>4</v>
      </c>
    </row>
    <row r="6" spans="1:20" x14ac:dyDescent="0.2">
      <c r="A6" s="4" t="s">
        <v>9</v>
      </c>
      <c r="B6" s="4">
        <v>2772.2429999999999</v>
      </c>
      <c r="C6" s="4">
        <v>9</v>
      </c>
      <c r="D6" s="4">
        <v>2772.24</v>
      </c>
      <c r="E6" s="4">
        <v>608194.57999999996</v>
      </c>
      <c r="F6" s="4">
        <v>1.2590414000000001</v>
      </c>
      <c r="G6" s="4">
        <v>17.3530069</v>
      </c>
      <c r="Q6" s="13"/>
      <c r="R6" s="4" t="s">
        <v>9</v>
      </c>
      <c r="S6" s="4">
        <v>1548.1415</v>
      </c>
      <c r="T6" s="4">
        <v>5</v>
      </c>
    </row>
    <row r="7" spans="1:20" x14ac:dyDescent="0.2">
      <c r="A7" s="4" t="s">
        <v>9</v>
      </c>
      <c r="B7" s="4">
        <v>3078.268</v>
      </c>
      <c r="C7" s="4">
        <v>10</v>
      </c>
      <c r="D7" s="4">
        <v>3078.2660000000001</v>
      </c>
      <c r="E7" s="4">
        <v>702426.53</v>
      </c>
      <c r="F7" s="4">
        <v>2.2800053</v>
      </c>
      <c r="G7" s="4">
        <v>20.041632799999999</v>
      </c>
      <c r="Q7" s="13"/>
      <c r="R7" s="4" t="s">
        <v>9</v>
      </c>
      <c r="S7" s="4">
        <v>1854.1668</v>
      </c>
      <c r="T7" s="4">
        <v>6</v>
      </c>
    </row>
    <row r="8" spans="1:20" x14ac:dyDescent="0.2">
      <c r="A8" s="4" t="s">
        <v>9</v>
      </c>
      <c r="B8" s="4">
        <v>3384.2930000000001</v>
      </c>
      <c r="C8" s="4">
        <v>11</v>
      </c>
      <c r="D8" s="4">
        <v>3384.2910000000002</v>
      </c>
      <c r="E8" s="4">
        <v>417818.64</v>
      </c>
      <c r="F8" s="4">
        <v>3.5719884</v>
      </c>
      <c r="G8" s="4">
        <v>11.921200900000001</v>
      </c>
      <c r="Q8" s="13"/>
      <c r="R8" s="4" t="s">
        <v>9</v>
      </c>
      <c r="S8" s="4">
        <v>2160.1921000000002</v>
      </c>
      <c r="T8" s="4">
        <v>7</v>
      </c>
    </row>
    <row r="9" spans="1:20" x14ac:dyDescent="0.2">
      <c r="A9" s="4" t="s">
        <v>9</v>
      </c>
      <c r="B9" s="4">
        <v>3690.319</v>
      </c>
      <c r="C9" s="4">
        <v>12</v>
      </c>
      <c r="D9" s="4">
        <v>3690.3159999999998</v>
      </c>
      <c r="E9" s="4">
        <v>429614.68</v>
      </c>
      <c r="F9" s="4">
        <v>4.4394992000000002</v>
      </c>
      <c r="G9" s="4">
        <v>12.2577655</v>
      </c>
      <c r="Q9" s="13"/>
      <c r="R9" s="4" t="s">
        <v>9</v>
      </c>
      <c r="S9" s="4">
        <v>2466.2174</v>
      </c>
      <c r="T9" s="4">
        <v>8</v>
      </c>
    </row>
    <row r="10" spans="1:20" x14ac:dyDescent="0.2">
      <c r="A10" s="4" t="s">
        <v>9</v>
      </c>
      <c r="B10" s="4">
        <v>3996.3440000000001</v>
      </c>
      <c r="C10" s="4">
        <v>13</v>
      </c>
      <c r="D10" s="4">
        <v>3996.3429999999998</v>
      </c>
      <c r="E10" s="4">
        <v>209284.7</v>
      </c>
      <c r="F10" s="4">
        <v>5.1308935</v>
      </c>
      <c r="G10" s="4">
        <v>5.9713108000000004</v>
      </c>
      <c r="Q10" s="13"/>
      <c r="R10" s="4" t="s">
        <v>9</v>
      </c>
      <c r="S10" s="4">
        <v>2772.2426999999998</v>
      </c>
      <c r="T10" s="4">
        <v>9</v>
      </c>
    </row>
    <row r="11" spans="1:20" x14ac:dyDescent="0.2">
      <c r="A11" s="4" t="s">
        <v>9</v>
      </c>
      <c r="B11" s="4">
        <v>4302.3689999999997</v>
      </c>
      <c r="C11" s="4">
        <v>14</v>
      </c>
      <c r="D11" s="4">
        <v>4302.3670000000002</v>
      </c>
      <c r="E11" s="4">
        <v>237625.1</v>
      </c>
      <c r="F11" s="4">
        <v>5.7319598000000003</v>
      </c>
      <c r="G11" s="4">
        <v>6.7799189999999996</v>
      </c>
      <c r="Q11" s="13"/>
      <c r="R11" s="4" t="s">
        <v>9</v>
      </c>
      <c r="S11" s="4">
        <v>3078.268</v>
      </c>
      <c r="T11" s="4">
        <v>10</v>
      </c>
    </row>
    <row r="12" spans="1:20" x14ac:dyDescent="0.2">
      <c r="A12" s="4" t="s">
        <v>9</v>
      </c>
      <c r="B12" s="4">
        <v>4608.3950000000004</v>
      </c>
      <c r="C12" s="4">
        <v>15</v>
      </c>
      <c r="D12" s="4">
        <v>4608.3919999999998</v>
      </c>
      <c r="E12" s="4">
        <v>145952.07999999999</v>
      </c>
      <c r="F12" s="4">
        <v>6.2110808999999998</v>
      </c>
      <c r="G12" s="4">
        <v>4.1643046000000004</v>
      </c>
      <c r="Q12" s="13"/>
      <c r="R12" s="4" t="s">
        <v>9</v>
      </c>
      <c r="S12" s="4">
        <v>3384.2932999999998</v>
      </c>
      <c r="T12" s="4">
        <v>11</v>
      </c>
    </row>
    <row r="13" spans="1:20" x14ac:dyDescent="0.2">
      <c r="A13" s="4" t="s">
        <v>9</v>
      </c>
      <c r="B13" s="4">
        <v>4914.42</v>
      </c>
      <c r="C13" s="4">
        <v>16</v>
      </c>
      <c r="D13" s="4">
        <v>4914.4189999999999</v>
      </c>
      <c r="E13" s="4">
        <v>121810.47</v>
      </c>
      <c r="F13" s="4">
        <v>6.6631429999999998</v>
      </c>
      <c r="G13" s="4">
        <v>3.4754961999999998</v>
      </c>
      <c r="Q13" s="13"/>
      <c r="R13" s="4" t="s">
        <v>9</v>
      </c>
      <c r="S13" s="4">
        <v>3690.3186000000001</v>
      </c>
      <c r="T13" s="4">
        <v>12</v>
      </c>
    </row>
    <row r="14" spans="1:20" x14ac:dyDescent="0.2">
      <c r="A14" s="4" t="s">
        <v>9</v>
      </c>
      <c r="B14" s="4">
        <v>5220.4449999999997</v>
      </c>
      <c r="C14" s="4">
        <v>17</v>
      </c>
      <c r="D14" s="4">
        <v>5220.4449999999997</v>
      </c>
      <c r="E14" s="4">
        <v>39096.21</v>
      </c>
      <c r="F14" s="4">
        <v>7.0519885000000002</v>
      </c>
      <c r="G14" s="4">
        <v>1.1154930000000001</v>
      </c>
      <c r="Q14" s="13"/>
      <c r="R14" s="4" t="s">
        <v>9</v>
      </c>
      <c r="S14" s="4">
        <v>3996.3438999999998</v>
      </c>
      <c r="T14" s="4">
        <v>13</v>
      </c>
    </row>
    <row r="15" spans="1:20" x14ac:dyDescent="0.2">
      <c r="A15" s="4" t="s">
        <v>9</v>
      </c>
      <c r="B15" s="4">
        <v>5526.47</v>
      </c>
      <c r="C15" s="4">
        <v>18</v>
      </c>
      <c r="D15" s="4">
        <v>5526.4790000000003</v>
      </c>
      <c r="E15" s="4">
        <v>24868.32</v>
      </c>
      <c r="F15" s="4">
        <v>7.3776466000000003</v>
      </c>
      <c r="G15" s="4">
        <v>0.70954289999999998</v>
      </c>
      <c r="Q15" s="13"/>
      <c r="R15" s="4" t="s">
        <v>9</v>
      </c>
      <c r="S15" s="4">
        <v>4302.3692000000001</v>
      </c>
      <c r="T15" s="4">
        <v>14</v>
      </c>
    </row>
    <row r="16" spans="1:20" x14ac:dyDescent="0.2">
      <c r="A16" s="4" t="s">
        <v>9</v>
      </c>
      <c r="B16" s="4">
        <v>5832.4960000000001</v>
      </c>
      <c r="C16" s="4">
        <v>19</v>
      </c>
      <c r="D16" s="4">
        <v>5832.51</v>
      </c>
      <c r="E16" s="4">
        <v>15713.22</v>
      </c>
      <c r="F16" s="4">
        <v>7.712415</v>
      </c>
      <c r="G16" s="4">
        <v>0.44832959999999999</v>
      </c>
      <c r="Q16" s="13"/>
      <c r="R16" s="4" t="s">
        <v>9</v>
      </c>
      <c r="S16" s="4">
        <v>4608.3945000000003</v>
      </c>
      <c r="T16" s="4">
        <v>15</v>
      </c>
    </row>
    <row r="17" spans="1:20" x14ac:dyDescent="0.2">
      <c r="A17" s="4" t="s">
        <v>9</v>
      </c>
      <c r="B17" s="4">
        <v>6138.5209999999997</v>
      </c>
      <c r="C17" s="4">
        <v>20</v>
      </c>
      <c r="D17" s="4">
        <v>6138.54</v>
      </c>
      <c r="E17" s="4">
        <v>13777.03</v>
      </c>
      <c r="F17" s="4">
        <v>7.9794204999999998</v>
      </c>
      <c r="G17" s="4">
        <v>0.3930862</v>
      </c>
      <c r="Q17" s="13"/>
      <c r="R17" s="4" t="s">
        <v>9</v>
      </c>
      <c r="S17" s="4">
        <v>4914.4197999999997</v>
      </c>
      <c r="T17" s="4">
        <v>16</v>
      </c>
    </row>
    <row r="18" spans="1:20" x14ac:dyDescent="0.2">
      <c r="A18" s="13"/>
      <c r="Q18" s="13"/>
      <c r="R18" s="4" t="s">
        <v>9</v>
      </c>
      <c r="S18" s="4">
        <v>5220.4450999999999</v>
      </c>
      <c r="T18" s="4">
        <v>17</v>
      </c>
    </row>
    <row r="19" spans="1:20" x14ac:dyDescent="0.2">
      <c r="A19" s="13"/>
      <c r="Q19" s="13"/>
      <c r="R19" s="4" t="s">
        <v>9</v>
      </c>
      <c r="S19" s="4">
        <v>5526.4704000000002</v>
      </c>
      <c r="T19" s="4">
        <v>18</v>
      </c>
    </row>
    <row r="20" spans="1:20" x14ac:dyDescent="0.2">
      <c r="Q20" s="13"/>
      <c r="R20" s="4" t="s">
        <v>9</v>
      </c>
      <c r="S20" s="4">
        <v>5832.4957000000004</v>
      </c>
      <c r="T20" s="4">
        <v>19</v>
      </c>
    </row>
    <row r="21" spans="1:20" x14ac:dyDescent="0.2">
      <c r="Q21" s="13"/>
      <c r="R21" s="4" t="s">
        <v>9</v>
      </c>
      <c r="S21" s="4">
        <v>6138.5209999999997</v>
      </c>
      <c r="T21" s="4">
        <v>20</v>
      </c>
    </row>
    <row r="22" spans="1:20" s="10" customFormat="1" x14ac:dyDescent="0.2">
      <c r="A22" s="9" t="s">
        <v>9</v>
      </c>
      <c r="B22" s="9">
        <v>1548.1410000000001</v>
      </c>
      <c r="C22" s="9">
        <v>5</v>
      </c>
      <c r="D22" s="9">
        <v>1548.1369999999999</v>
      </c>
      <c r="E22" s="9">
        <v>217691.34</v>
      </c>
      <c r="F22" s="9">
        <v>0.71697869999999997</v>
      </c>
      <c r="G22" s="9">
        <v>6.2111689999999999</v>
      </c>
      <c r="H22" s="10" t="s">
        <v>268</v>
      </c>
      <c r="Q22" s="18"/>
      <c r="R22" s="9" t="s">
        <v>8</v>
      </c>
      <c r="S22" s="9">
        <v>6467.5735000000004</v>
      </c>
      <c r="T22" s="9">
        <v>21</v>
      </c>
    </row>
    <row r="23" spans="1:20" s="10" customFormat="1" x14ac:dyDescent="0.2">
      <c r="A23" s="9" t="s">
        <v>9</v>
      </c>
      <c r="B23" s="9">
        <v>1854.1669999999999</v>
      </c>
      <c r="C23" s="9">
        <v>6</v>
      </c>
      <c r="D23" s="9">
        <v>1854.162</v>
      </c>
      <c r="E23" s="9">
        <v>815919.57</v>
      </c>
      <c r="F23" s="9">
        <v>0.78020909999999999</v>
      </c>
      <c r="G23" s="9">
        <v>23.279816100000001</v>
      </c>
      <c r="Q23" s="18"/>
      <c r="R23" s="9" t="s">
        <v>8</v>
      </c>
      <c r="S23" s="9">
        <v>6796.6260000000002</v>
      </c>
      <c r="T23" s="9">
        <v>22</v>
      </c>
    </row>
    <row r="24" spans="1:20" s="10" customFormat="1" x14ac:dyDescent="0.2">
      <c r="A24" s="9" t="s">
        <v>9</v>
      </c>
      <c r="B24" s="9">
        <v>2160.192</v>
      </c>
      <c r="C24" s="9">
        <v>7</v>
      </c>
      <c r="D24" s="9">
        <v>2160.1889999999999</v>
      </c>
      <c r="E24" s="9">
        <v>808492.96</v>
      </c>
      <c r="F24" s="9">
        <v>0.89764949999999999</v>
      </c>
      <c r="G24" s="9">
        <v>23.067920000000001</v>
      </c>
      <c r="Q24" s="18"/>
      <c r="R24" s="9" t="s">
        <v>8</v>
      </c>
      <c r="S24" s="9">
        <v>7125.6785</v>
      </c>
      <c r="T24" s="9">
        <v>23</v>
      </c>
    </row>
    <row r="25" spans="1:20" s="10" customFormat="1" x14ac:dyDescent="0.2">
      <c r="A25" s="9" t="s">
        <v>9</v>
      </c>
      <c r="B25" s="9">
        <v>2466.2170000000001</v>
      </c>
      <c r="C25" s="9">
        <v>8</v>
      </c>
      <c r="D25" s="9">
        <v>2466.2150000000001</v>
      </c>
      <c r="E25" s="9">
        <v>1043318.72</v>
      </c>
      <c r="F25" s="9">
        <v>0.98799590000000004</v>
      </c>
      <c r="G25" s="9">
        <v>29.7679683</v>
      </c>
      <c r="Q25" s="18"/>
      <c r="R25" s="9" t="s">
        <v>8</v>
      </c>
      <c r="S25" s="9">
        <v>7454.7309999999998</v>
      </c>
      <c r="T25" s="9">
        <v>24</v>
      </c>
    </row>
    <row r="26" spans="1:20" s="10" customFormat="1" x14ac:dyDescent="0.2">
      <c r="A26" s="9" t="s">
        <v>9</v>
      </c>
      <c r="B26" s="9">
        <v>2772.2429999999999</v>
      </c>
      <c r="C26" s="9">
        <v>9</v>
      </c>
      <c r="D26" s="9">
        <v>2772.24</v>
      </c>
      <c r="E26" s="9">
        <v>608194.57999999996</v>
      </c>
      <c r="F26" s="9">
        <v>1.2590414000000001</v>
      </c>
      <c r="G26" s="9">
        <v>17.3530069</v>
      </c>
      <c r="Q26" s="18"/>
      <c r="R26" s="9" t="s">
        <v>8</v>
      </c>
      <c r="S26" s="9">
        <v>7783.7834999999995</v>
      </c>
      <c r="T26" s="9">
        <v>25</v>
      </c>
    </row>
    <row r="27" spans="1:20" s="10" customFormat="1" x14ac:dyDescent="0.2">
      <c r="A27" s="9" t="s">
        <v>9</v>
      </c>
      <c r="B27" s="9">
        <v>3078.268</v>
      </c>
      <c r="C27" s="9">
        <v>10</v>
      </c>
      <c r="D27" s="9">
        <v>3078.2660000000001</v>
      </c>
      <c r="E27" s="9">
        <v>702426.53</v>
      </c>
      <c r="F27" s="9">
        <v>2.2800053</v>
      </c>
      <c r="G27" s="9">
        <v>20.041632799999999</v>
      </c>
      <c r="Q27" s="18"/>
      <c r="R27" s="9" t="s">
        <v>8</v>
      </c>
      <c r="S27" s="9">
        <v>8112.8360000000002</v>
      </c>
      <c r="T27" s="9">
        <v>26</v>
      </c>
    </row>
    <row r="28" spans="1:20" s="10" customFormat="1" x14ac:dyDescent="0.2">
      <c r="A28" s="9" t="s">
        <v>9</v>
      </c>
      <c r="B28" s="9">
        <v>3384.2930000000001</v>
      </c>
      <c r="C28" s="9">
        <v>11</v>
      </c>
      <c r="D28" s="9">
        <v>3384.2910000000002</v>
      </c>
      <c r="E28" s="9">
        <v>417818.64</v>
      </c>
      <c r="F28" s="9">
        <v>3.5719884</v>
      </c>
      <c r="G28" s="9">
        <v>11.921200900000001</v>
      </c>
      <c r="Q28" s="18"/>
      <c r="R28" s="9" t="s">
        <v>8</v>
      </c>
      <c r="S28" s="9">
        <v>8441.8884999999991</v>
      </c>
      <c r="T28" s="9">
        <v>27</v>
      </c>
    </row>
    <row r="29" spans="1:20" s="10" customFormat="1" x14ac:dyDescent="0.2">
      <c r="A29" s="9" t="s">
        <v>9</v>
      </c>
      <c r="B29" s="9">
        <v>3690.319</v>
      </c>
      <c r="C29" s="9">
        <v>12</v>
      </c>
      <c r="D29" s="9">
        <v>3690.3159999999998</v>
      </c>
      <c r="E29" s="9">
        <v>429614.68</v>
      </c>
      <c r="F29" s="9">
        <v>4.4394992000000002</v>
      </c>
      <c r="G29" s="9">
        <v>12.2577655</v>
      </c>
      <c r="Q29" s="18"/>
      <c r="R29" s="9" t="s">
        <v>8</v>
      </c>
      <c r="S29" s="9">
        <v>8770.9410000000007</v>
      </c>
      <c r="T29" s="9">
        <v>28</v>
      </c>
    </row>
    <row r="30" spans="1:20" s="10" customFormat="1" x14ac:dyDescent="0.2">
      <c r="A30" s="9" t="s">
        <v>9</v>
      </c>
      <c r="B30" s="9">
        <v>3996.3440000000001</v>
      </c>
      <c r="C30" s="9">
        <v>13</v>
      </c>
      <c r="D30" s="9">
        <v>3996.3429999999998</v>
      </c>
      <c r="E30" s="9">
        <v>209284.7</v>
      </c>
      <c r="F30" s="9">
        <v>5.1308935</v>
      </c>
      <c r="G30" s="9">
        <v>5.9713108000000004</v>
      </c>
      <c r="Q30" s="18"/>
      <c r="R30" s="9" t="s">
        <v>8</v>
      </c>
      <c r="S30" s="9">
        <v>9099.9935000000005</v>
      </c>
      <c r="T30" s="9">
        <v>29</v>
      </c>
    </row>
    <row r="31" spans="1:20" s="10" customFormat="1" x14ac:dyDescent="0.2">
      <c r="A31" s="9" t="s">
        <v>9</v>
      </c>
      <c r="B31" s="9">
        <v>4302.3689999999997</v>
      </c>
      <c r="C31" s="9">
        <v>14</v>
      </c>
      <c r="D31" s="9">
        <v>4302.3670000000002</v>
      </c>
      <c r="E31" s="9">
        <v>237625.1</v>
      </c>
      <c r="F31" s="9">
        <v>5.7319598000000003</v>
      </c>
      <c r="G31" s="9">
        <v>6.7799189999999996</v>
      </c>
      <c r="Q31" s="18"/>
      <c r="R31" s="9" t="s">
        <v>8</v>
      </c>
      <c r="S31" s="9">
        <v>9429.0460000000003</v>
      </c>
      <c r="T31" s="9">
        <v>30</v>
      </c>
    </row>
    <row r="32" spans="1:20" s="10" customFormat="1" x14ac:dyDescent="0.2">
      <c r="A32" s="9" t="s">
        <v>9</v>
      </c>
      <c r="B32" s="9">
        <v>4608.3950000000004</v>
      </c>
      <c r="C32" s="9">
        <v>15</v>
      </c>
      <c r="D32" s="9">
        <v>4608.3919999999998</v>
      </c>
      <c r="E32" s="9">
        <v>145952.07999999999</v>
      </c>
      <c r="F32" s="9">
        <v>6.2110808999999998</v>
      </c>
      <c r="G32" s="9">
        <v>4.1643046000000004</v>
      </c>
      <c r="Q32" s="18"/>
      <c r="R32" s="9" t="s">
        <v>8</v>
      </c>
      <c r="S32" s="9">
        <v>9758.0985000000001</v>
      </c>
      <c r="T32" s="9">
        <v>31</v>
      </c>
    </row>
    <row r="33" spans="1:20" s="10" customFormat="1" x14ac:dyDescent="0.2">
      <c r="A33" s="9" t="s">
        <v>9</v>
      </c>
      <c r="B33" s="9">
        <v>4914.42</v>
      </c>
      <c r="C33" s="9">
        <v>16</v>
      </c>
      <c r="D33" s="9">
        <v>4914.4189999999999</v>
      </c>
      <c r="E33" s="9">
        <v>121810.47</v>
      </c>
      <c r="F33" s="9">
        <v>6.6631429999999998</v>
      </c>
      <c r="G33" s="9">
        <v>3.4754961999999998</v>
      </c>
      <c r="Q33" s="18"/>
      <c r="R33" s="9" t="s">
        <v>8</v>
      </c>
      <c r="S33" s="9">
        <v>10087.151</v>
      </c>
      <c r="T33" s="9">
        <v>32</v>
      </c>
    </row>
    <row r="34" spans="1:20" s="10" customFormat="1" x14ac:dyDescent="0.2">
      <c r="A34" s="9" t="s">
        <v>9</v>
      </c>
      <c r="B34" s="9">
        <v>5220.4449999999997</v>
      </c>
      <c r="C34" s="9">
        <v>17</v>
      </c>
      <c r="D34" s="9">
        <v>5220.4449999999997</v>
      </c>
      <c r="E34" s="9">
        <v>39096.21</v>
      </c>
      <c r="F34" s="9">
        <v>7.0519885000000002</v>
      </c>
      <c r="G34" s="9">
        <v>1.1154930000000001</v>
      </c>
      <c r="Q34" s="18"/>
      <c r="R34" s="9" t="s">
        <v>8</v>
      </c>
      <c r="S34" s="9">
        <v>10416.2035</v>
      </c>
      <c r="T34" s="9">
        <v>33</v>
      </c>
    </row>
    <row r="35" spans="1:20" s="10" customFormat="1" x14ac:dyDescent="0.2">
      <c r="A35" s="9" t="s">
        <v>9</v>
      </c>
      <c r="B35" s="9">
        <v>5526.47</v>
      </c>
      <c r="C35" s="9">
        <v>18</v>
      </c>
      <c r="D35" s="9">
        <v>5526.4790000000003</v>
      </c>
      <c r="E35" s="9">
        <v>24868.32</v>
      </c>
      <c r="F35" s="9">
        <v>7.3776466000000003</v>
      </c>
      <c r="G35" s="9">
        <v>0.70954289999999998</v>
      </c>
      <c r="Q35" s="18"/>
      <c r="R35" s="9" t="s">
        <v>8</v>
      </c>
      <c r="S35" s="9">
        <v>10745.255999999999</v>
      </c>
      <c r="T35" s="9">
        <v>34</v>
      </c>
    </row>
    <row r="36" spans="1:20" s="10" customFormat="1" x14ac:dyDescent="0.2">
      <c r="A36" s="9" t="s">
        <v>9</v>
      </c>
      <c r="B36" s="9">
        <v>5832.4960000000001</v>
      </c>
      <c r="C36" s="9">
        <v>19</v>
      </c>
      <c r="D36" s="9">
        <v>5832.51</v>
      </c>
      <c r="E36" s="9">
        <v>15713.22</v>
      </c>
      <c r="F36" s="9">
        <v>7.712415</v>
      </c>
      <c r="G36" s="9">
        <v>0.44832959999999999</v>
      </c>
      <c r="Q36" s="18"/>
      <c r="R36" s="9" t="s">
        <v>8</v>
      </c>
      <c r="S36" s="9">
        <v>11074.308499999999</v>
      </c>
      <c r="T36" s="9">
        <v>35</v>
      </c>
    </row>
    <row r="37" spans="1:20" s="10" customFormat="1" x14ac:dyDescent="0.2">
      <c r="A37" s="9" t="s">
        <v>9</v>
      </c>
      <c r="B37" s="9">
        <v>6138.5209999999997</v>
      </c>
      <c r="C37" s="9">
        <v>20</v>
      </c>
      <c r="D37" s="9">
        <v>6138.54</v>
      </c>
      <c r="E37" s="9">
        <v>13777.03</v>
      </c>
      <c r="F37" s="9">
        <v>7.9794204999999998</v>
      </c>
      <c r="G37" s="9">
        <v>0.3930862</v>
      </c>
      <c r="Q37" s="18"/>
      <c r="R37" s="9" t="s">
        <v>8</v>
      </c>
      <c r="S37" s="9">
        <v>11403.361000000001</v>
      </c>
      <c r="T37" s="9">
        <v>36</v>
      </c>
    </row>
    <row r="38" spans="1:20" s="10" customFormat="1" x14ac:dyDescent="0.2">
      <c r="A38" s="9" t="s">
        <v>8</v>
      </c>
      <c r="B38" s="9">
        <v>6467.5739999999996</v>
      </c>
      <c r="C38" s="6">
        <v>21</v>
      </c>
      <c r="D38" s="9">
        <v>6467.8810000000003</v>
      </c>
      <c r="E38" s="9">
        <v>949710.81</v>
      </c>
      <c r="F38" s="9">
        <v>9.2069694999999996</v>
      </c>
      <c r="G38" s="9">
        <v>27.0971476</v>
      </c>
      <c r="Q38" s="18"/>
      <c r="R38" s="9" t="s">
        <v>8</v>
      </c>
      <c r="S38" s="9">
        <v>11732.413500000001</v>
      </c>
      <c r="T38" s="9">
        <v>37</v>
      </c>
    </row>
    <row r="39" spans="1:20" s="10" customFormat="1" x14ac:dyDescent="0.2">
      <c r="A39" s="9" t="s">
        <v>8</v>
      </c>
      <c r="B39" s="9">
        <v>7783.7839999999997</v>
      </c>
      <c r="C39" s="9">
        <v>25</v>
      </c>
      <c r="D39" s="9">
        <v>7784.0330000000004</v>
      </c>
      <c r="E39" s="9">
        <v>20186.46</v>
      </c>
      <c r="F39" s="9">
        <v>9.7508374</v>
      </c>
      <c r="G39" s="9">
        <v>0.57596000000000003</v>
      </c>
      <c r="Q39" s="18"/>
      <c r="R39" s="9" t="s">
        <v>8</v>
      </c>
      <c r="S39" s="9">
        <v>12061.466</v>
      </c>
      <c r="T39" s="9">
        <v>38</v>
      </c>
    </row>
    <row r="40" spans="1:20" s="10" customFormat="1" x14ac:dyDescent="0.2">
      <c r="A40" s="9" t="s">
        <v>8</v>
      </c>
      <c r="B40" s="9">
        <v>8441.8889999999992</v>
      </c>
      <c r="C40" s="9">
        <v>27</v>
      </c>
      <c r="D40" s="9">
        <v>8442.1270000000004</v>
      </c>
      <c r="E40" s="9">
        <v>14819.43</v>
      </c>
      <c r="F40" s="9">
        <v>8.8171853000000002</v>
      </c>
      <c r="G40" s="9">
        <v>0.42282799999999998</v>
      </c>
      <c r="Q40" s="18"/>
      <c r="R40" s="9" t="s">
        <v>8</v>
      </c>
      <c r="S40" s="9">
        <v>12390.5185</v>
      </c>
      <c r="T40" s="9">
        <v>39</v>
      </c>
    </row>
    <row r="41" spans="1:20" s="10" customFormat="1" x14ac:dyDescent="0.2">
      <c r="A41" s="9" t="s">
        <v>8</v>
      </c>
      <c r="B41" s="9">
        <v>25881.670999999998</v>
      </c>
      <c r="C41" s="9">
        <v>80</v>
      </c>
      <c r="D41" s="9">
        <v>25881.133999999998</v>
      </c>
      <c r="E41" s="9">
        <v>20317.89</v>
      </c>
      <c r="F41" s="9">
        <v>17.190093900000001</v>
      </c>
      <c r="G41" s="9">
        <v>0.57970999999999995</v>
      </c>
      <c r="Q41" s="18"/>
      <c r="R41" s="9" t="s">
        <v>8</v>
      </c>
      <c r="S41" s="9">
        <v>12719.571</v>
      </c>
      <c r="T41" s="9">
        <v>40</v>
      </c>
    </row>
    <row r="42" spans="1:20" s="10" customFormat="1" x14ac:dyDescent="0.2">
      <c r="A42" s="9" t="s">
        <v>8</v>
      </c>
      <c r="B42" s="9">
        <v>26210.723999999998</v>
      </c>
      <c r="C42" s="9">
        <v>81</v>
      </c>
      <c r="D42" s="9">
        <v>26210.255000000001</v>
      </c>
      <c r="E42" s="9">
        <v>5225</v>
      </c>
      <c r="F42" s="9">
        <v>17.2173506</v>
      </c>
      <c r="G42" s="9">
        <v>0.14907970000000001</v>
      </c>
      <c r="Q42" s="18"/>
      <c r="R42" s="9" t="s">
        <v>8</v>
      </c>
      <c r="S42" s="9">
        <v>13048.6235</v>
      </c>
      <c r="T42" s="9">
        <v>41</v>
      </c>
    </row>
    <row r="43" spans="1:20" s="10" customFormat="1" x14ac:dyDescent="0.2">
      <c r="A43" s="9" t="s">
        <v>8</v>
      </c>
      <c r="B43" s="9">
        <v>26868.829000000002</v>
      </c>
      <c r="C43" s="9">
        <v>83</v>
      </c>
      <c r="D43" s="9">
        <v>26869.257000000001</v>
      </c>
      <c r="E43" s="9">
        <v>10732.58</v>
      </c>
      <c r="F43" s="9">
        <v>17.280987700000001</v>
      </c>
      <c r="G43" s="9">
        <v>0.30622199999999999</v>
      </c>
      <c r="Q43" s="18"/>
      <c r="R43" s="9" t="s">
        <v>8</v>
      </c>
      <c r="S43" s="9">
        <v>13377.675999999999</v>
      </c>
      <c r="T43" s="9">
        <v>42</v>
      </c>
    </row>
    <row r="44" spans="1:20" x14ac:dyDescent="0.2">
      <c r="Q44" s="13"/>
      <c r="R44" s="4" t="s">
        <v>8</v>
      </c>
      <c r="S44" s="4">
        <v>13706.728499999999</v>
      </c>
      <c r="T44" s="4">
        <v>43</v>
      </c>
    </row>
    <row r="45" spans="1:20" x14ac:dyDescent="0.2">
      <c r="Q45" s="13"/>
      <c r="R45" s="4" t="s">
        <v>8</v>
      </c>
      <c r="S45" s="4">
        <v>14035.781000000001</v>
      </c>
      <c r="T45" s="4">
        <v>44</v>
      </c>
    </row>
    <row r="46" spans="1:20" x14ac:dyDescent="0.2">
      <c r="Q46" s="13"/>
      <c r="R46" s="4" t="s">
        <v>8</v>
      </c>
      <c r="S46" s="4">
        <v>14364.833500000001</v>
      </c>
      <c r="T46" s="4">
        <v>45</v>
      </c>
    </row>
    <row r="47" spans="1:20" x14ac:dyDescent="0.2">
      <c r="Q47" s="13"/>
      <c r="R47" s="4" t="s">
        <v>8</v>
      </c>
      <c r="S47" s="4">
        <v>14693.886</v>
      </c>
      <c r="T47" s="4">
        <v>46</v>
      </c>
    </row>
    <row r="48" spans="1:20" x14ac:dyDescent="0.2">
      <c r="Q48" s="13"/>
      <c r="R48" s="4" t="s">
        <v>8</v>
      </c>
      <c r="S48" s="4">
        <v>15022.9385</v>
      </c>
      <c r="T48" s="4">
        <v>47</v>
      </c>
    </row>
    <row r="49" spans="17:20" x14ac:dyDescent="0.2">
      <c r="Q49" s="13"/>
      <c r="R49" s="4" t="s">
        <v>8</v>
      </c>
      <c r="S49" s="4">
        <v>15351.991</v>
      </c>
      <c r="T49" s="4">
        <v>48</v>
      </c>
    </row>
    <row r="50" spans="17:20" x14ac:dyDescent="0.2">
      <c r="Q50" s="13"/>
      <c r="R50" s="4" t="s">
        <v>8</v>
      </c>
      <c r="S50" s="4">
        <v>15681.0435</v>
      </c>
      <c r="T50" s="4">
        <v>49</v>
      </c>
    </row>
    <row r="51" spans="17:20" x14ac:dyDescent="0.2">
      <c r="Q51" s="13"/>
      <c r="R51" s="4" t="s">
        <v>8</v>
      </c>
      <c r="S51" s="4">
        <v>16010.096</v>
      </c>
      <c r="T51" s="4">
        <v>50</v>
      </c>
    </row>
    <row r="52" spans="17:20" x14ac:dyDescent="0.2">
      <c r="Q52" s="13"/>
      <c r="R52" s="4" t="s">
        <v>8</v>
      </c>
      <c r="S52" s="4">
        <v>16339.148499999999</v>
      </c>
      <c r="T52" s="4">
        <v>51</v>
      </c>
    </row>
    <row r="53" spans="17:20" x14ac:dyDescent="0.2">
      <c r="Q53" s="13"/>
      <c r="R53" s="4" t="s">
        <v>8</v>
      </c>
      <c r="S53" s="4">
        <v>16668.201000000001</v>
      </c>
      <c r="T53" s="4">
        <v>52</v>
      </c>
    </row>
    <row r="54" spans="17:20" x14ac:dyDescent="0.2">
      <c r="Q54" s="13"/>
      <c r="R54" s="4" t="s">
        <v>8</v>
      </c>
      <c r="S54" s="4">
        <v>16997.253499999999</v>
      </c>
      <c r="T54" s="4">
        <v>53</v>
      </c>
    </row>
    <row r="55" spans="17:20" x14ac:dyDescent="0.2">
      <c r="Q55" s="13"/>
      <c r="R55" s="4" t="s">
        <v>8</v>
      </c>
      <c r="S55" s="4">
        <v>17326.306</v>
      </c>
      <c r="T55" s="4">
        <v>54</v>
      </c>
    </row>
    <row r="56" spans="17:20" x14ac:dyDescent="0.2">
      <c r="Q56" s="13"/>
      <c r="R56" s="4" t="s">
        <v>8</v>
      </c>
      <c r="S56" s="4">
        <v>17655.358499999998</v>
      </c>
      <c r="T56" s="4">
        <v>55</v>
      </c>
    </row>
    <row r="57" spans="17:20" x14ac:dyDescent="0.2">
      <c r="Q57" s="13"/>
      <c r="R57" s="4" t="s">
        <v>8</v>
      </c>
      <c r="S57" s="4">
        <v>17984.411</v>
      </c>
      <c r="T57" s="4">
        <v>56</v>
      </c>
    </row>
    <row r="58" spans="17:20" x14ac:dyDescent="0.2">
      <c r="Q58" s="13"/>
      <c r="R58" s="4" t="s">
        <v>8</v>
      </c>
      <c r="S58" s="4">
        <v>18313.463500000002</v>
      </c>
      <c r="T58" s="4">
        <v>57</v>
      </c>
    </row>
    <row r="59" spans="17:20" x14ac:dyDescent="0.2">
      <c r="Q59" s="13"/>
      <c r="R59" s="4" t="s">
        <v>8</v>
      </c>
      <c r="S59" s="4">
        <v>18642.516</v>
      </c>
      <c r="T59" s="4">
        <v>58</v>
      </c>
    </row>
    <row r="60" spans="17:20" x14ac:dyDescent="0.2">
      <c r="Q60" s="13"/>
      <c r="R60" s="4" t="s">
        <v>8</v>
      </c>
      <c r="S60" s="4">
        <v>18971.568500000001</v>
      </c>
      <c r="T60" s="4">
        <v>59</v>
      </c>
    </row>
    <row r="61" spans="17:20" x14ac:dyDescent="0.2">
      <c r="Q61" s="13"/>
      <c r="R61" s="4" t="s">
        <v>8</v>
      </c>
      <c r="S61" s="4">
        <v>19300.620999999999</v>
      </c>
      <c r="T61" s="4">
        <v>60</v>
      </c>
    </row>
    <row r="62" spans="17:20" x14ac:dyDescent="0.2">
      <c r="Q62" s="13"/>
      <c r="R62" s="4" t="s">
        <v>8</v>
      </c>
      <c r="S62" s="4">
        <v>19629.673500000001</v>
      </c>
      <c r="T62" s="4">
        <v>61</v>
      </c>
    </row>
    <row r="63" spans="17:20" x14ac:dyDescent="0.2">
      <c r="Q63" s="13"/>
      <c r="R63" s="4" t="s">
        <v>8</v>
      </c>
      <c r="S63" s="4">
        <v>19958.725999999999</v>
      </c>
      <c r="T63" s="4">
        <v>62</v>
      </c>
    </row>
    <row r="64" spans="17:20" x14ac:dyDescent="0.2">
      <c r="Q64" s="13"/>
      <c r="R64" s="4" t="s">
        <v>8</v>
      </c>
      <c r="S64" s="4">
        <v>20287.7785</v>
      </c>
      <c r="T64" s="4">
        <v>63</v>
      </c>
    </row>
    <row r="65" spans="17:20" x14ac:dyDescent="0.2">
      <c r="Q65" s="13"/>
      <c r="R65" s="4" t="s">
        <v>8</v>
      </c>
      <c r="S65" s="4">
        <v>20616.830999999998</v>
      </c>
      <c r="T65" s="4">
        <v>64</v>
      </c>
    </row>
    <row r="66" spans="17:20" x14ac:dyDescent="0.2">
      <c r="Q66" s="13"/>
      <c r="R66" s="4" t="s">
        <v>8</v>
      </c>
      <c r="S66" s="4">
        <v>20945.8835</v>
      </c>
      <c r="T66" s="4">
        <v>65</v>
      </c>
    </row>
    <row r="67" spans="17:20" x14ac:dyDescent="0.2">
      <c r="Q67" s="13"/>
      <c r="R67" s="4" t="s">
        <v>8</v>
      </c>
      <c r="S67" s="4">
        <v>21274.936000000002</v>
      </c>
      <c r="T67" s="4">
        <v>66</v>
      </c>
    </row>
    <row r="68" spans="17:20" x14ac:dyDescent="0.2">
      <c r="Q68" s="13"/>
      <c r="R68" s="4" t="s">
        <v>8</v>
      </c>
      <c r="S68" s="4">
        <v>21603.988499999999</v>
      </c>
      <c r="T68" s="4">
        <v>67</v>
      </c>
    </row>
    <row r="69" spans="17:20" x14ac:dyDescent="0.2">
      <c r="Q69" s="13"/>
      <c r="R69" s="4" t="s">
        <v>8</v>
      </c>
      <c r="S69" s="4">
        <v>21933.041000000001</v>
      </c>
      <c r="T69" s="4">
        <v>68</v>
      </c>
    </row>
    <row r="70" spans="17:20" x14ac:dyDescent="0.2">
      <c r="Q70" s="13"/>
      <c r="R70" s="4" t="s">
        <v>8</v>
      </c>
      <c r="S70" s="4">
        <v>22262.093499999999</v>
      </c>
      <c r="T70" s="4">
        <v>69</v>
      </c>
    </row>
    <row r="71" spans="17:20" x14ac:dyDescent="0.2">
      <c r="Q71" s="13"/>
      <c r="R71" s="4" t="s">
        <v>8</v>
      </c>
      <c r="S71" s="4">
        <v>22591.146000000001</v>
      </c>
      <c r="T71" s="4">
        <v>70</v>
      </c>
    </row>
    <row r="72" spans="17:20" x14ac:dyDescent="0.2">
      <c r="Q72" s="13"/>
      <c r="R72" s="4" t="s">
        <v>8</v>
      </c>
      <c r="S72" s="4">
        <v>22920.198499999999</v>
      </c>
      <c r="T72" s="4">
        <v>71</v>
      </c>
    </row>
    <row r="73" spans="17:20" x14ac:dyDescent="0.2">
      <c r="Q73" s="13"/>
      <c r="R73" s="4" t="s">
        <v>8</v>
      </c>
      <c r="S73" s="4">
        <v>23249.251</v>
      </c>
      <c r="T73" s="4">
        <v>72</v>
      </c>
    </row>
    <row r="74" spans="17:20" x14ac:dyDescent="0.2">
      <c r="Q74" s="13"/>
      <c r="R74" s="4" t="s">
        <v>8</v>
      </c>
      <c r="S74" s="4">
        <v>23578.303500000002</v>
      </c>
      <c r="T74" s="4">
        <v>73</v>
      </c>
    </row>
    <row r="75" spans="17:20" x14ac:dyDescent="0.2">
      <c r="Q75" s="13"/>
      <c r="R75" s="4" t="s">
        <v>8</v>
      </c>
      <c r="S75" s="4">
        <v>23907.356</v>
      </c>
      <c r="T75" s="4">
        <v>74</v>
      </c>
    </row>
    <row r="76" spans="17:20" x14ac:dyDescent="0.2">
      <c r="Q76" s="13"/>
      <c r="R76" s="4" t="s">
        <v>8</v>
      </c>
      <c r="S76" s="4">
        <v>24236.408500000001</v>
      </c>
      <c r="T76" s="4">
        <v>75</v>
      </c>
    </row>
    <row r="77" spans="17:20" x14ac:dyDescent="0.2">
      <c r="Q77" s="13"/>
      <c r="R77" s="4" t="s">
        <v>8</v>
      </c>
      <c r="S77" s="4">
        <v>24565.460999999999</v>
      </c>
      <c r="T77" s="4">
        <v>76</v>
      </c>
    </row>
    <row r="78" spans="17:20" x14ac:dyDescent="0.2">
      <c r="Q78" s="13"/>
      <c r="R78" s="4" t="s">
        <v>8</v>
      </c>
      <c r="S78" s="4">
        <v>24894.513500000001</v>
      </c>
      <c r="T78" s="4">
        <v>77</v>
      </c>
    </row>
    <row r="79" spans="17:20" x14ac:dyDescent="0.2">
      <c r="Q79" s="13"/>
      <c r="R79" s="4" t="s">
        <v>8</v>
      </c>
      <c r="S79" s="4">
        <v>25223.565999999999</v>
      </c>
      <c r="T79" s="4">
        <v>78</v>
      </c>
    </row>
    <row r="80" spans="17:20" x14ac:dyDescent="0.2">
      <c r="Q80" s="13"/>
      <c r="R80" s="4" t="s">
        <v>8</v>
      </c>
      <c r="S80" s="4">
        <v>25552.6185</v>
      </c>
      <c r="T80" s="4">
        <v>79</v>
      </c>
    </row>
    <row r="81" spans="17:20" x14ac:dyDescent="0.2">
      <c r="Q81" s="13"/>
      <c r="R81" s="4" t="s">
        <v>8</v>
      </c>
      <c r="S81" s="4">
        <v>25881.670999999998</v>
      </c>
      <c r="T81" s="4">
        <v>80</v>
      </c>
    </row>
    <row r="82" spans="17:20" x14ac:dyDescent="0.2">
      <c r="Q82" s="13"/>
      <c r="R82" s="4" t="s">
        <v>8</v>
      </c>
      <c r="S82" s="4">
        <v>26210.7235</v>
      </c>
      <c r="T82" s="4">
        <v>81</v>
      </c>
    </row>
    <row r="83" spans="17:20" x14ac:dyDescent="0.2">
      <c r="Q83" s="13"/>
      <c r="R83" s="4" t="s">
        <v>8</v>
      </c>
      <c r="S83" s="4">
        <v>26539.776000000002</v>
      </c>
      <c r="T83" s="4">
        <v>82</v>
      </c>
    </row>
    <row r="84" spans="17:20" x14ac:dyDescent="0.2">
      <c r="Q84" s="13"/>
      <c r="R84" s="4" t="s">
        <v>8</v>
      </c>
      <c r="S84" s="4">
        <v>26868.8285</v>
      </c>
      <c r="T84" s="4">
        <v>83</v>
      </c>
    </row>
    <row r="85" spans="17:20" x14ac:dyDescent="0.2">
      <c r="Q85" s="13"/>
      <c r="R85" s="4" t="s">
        <v>8</v>
      </c>
      <c r="S85" s="4">
        <v>27197.881000000001</v>
      </c>
      <c r="T85" s="4">
        <v>84</v>
      </c>
    </row>
    <row r="86" spans="17:20" x14ac:dyDescent="0.2">
      <c r="Q86" s="13"/>
      <c r="R86" s="4" t="s">
        <v>8</v>
      </c>
      <c r="S86" s="4">
        <v>27526.933499999999</v>
      </c>
      <c r="T86" s="4">
        <v>85</v>
      </c>
    </row>
    <row r="87" spans="17:20" x14ac:dyDescent="0.2">
      <c r="Q87" s="13"/>
      <c r="R87" s="4" t="s">
        <v>8</v>
      </c>
      <c r="S87" s="4">
        <v>27855.986000000001</v>
      </c>
      <c r="T87" s="4">
        <v>86</v>
      </c>
    </row>
    <row r="88" spans="17:20" x14ac:dyDescent="0.2">
      <c r="Q88" s="13"/>
      <c r="R88" s="4" t="s">
        <v>8</v>
      </c>
      <c r="S88" s="4">
        <v>28185.038499999999</v>
      </c>
      <c r="T88" s="4">
        <v>87</v>
      </c>
    </row>
    <row r="89" spans="17:20" x14ac:dyDescent="0.2">
      <c r="Q89" s="13"/>
      <c r="R89" s="4" t="s">
        <v>8</v>
      </c>
      <c r="S89" s="4">
        <v>28514.091</v>
      </c>
      <c r="T89" s="4">
        <v>88</v>
      </c>
    </row>
    <row r="90" spans="17:20" x14ac:dyDescent="0.2">
      <c r="Q90" s="13"/>
      <c r="R90" s="4" t="s">
        <v>8</v>
      </c>
      <c r="S90" s="4">
        <v>28843.143499999998</v>
      </c>
      <c r="T90" s="4">
        <v>89</v>
      </c>
    </row>
    <row r="91" spans="17:20" x14ac:dyDescent="0.2">
      <c r="Q91" s="13"/>
      <c r="R91" s="4" t="s">
        <v>8</v>
      </c>
      <c r="S91" s="4">
        <v>29172.196</v>
      </c>
      <c r="T91" s="4">
        <v>90</v>
      </c>
    </row>
    <row r="92" spans="17:20" x14ac:dyDescent="0.2">
      <c r="Q92" s="13"/>
      <c r="R92" s="4" t="s">
        <v>8</v>
      </c>
      <c r="S92" s="4">
        <v>29501.248500000002</v>
      </c>
      <c r="T92" s="4">
        <v>91</v>
      </c>
    </row>
    <row r="93" spans="17:20" x14ac:dyDescent="0.2">
      <c r="Q93" s="13"/>
      <c r="R93" s="4" t="s">
        <v>8</v>
      </c>
      <c r="S93" s="4">
        <v>29830.300999999999</v>
      </c>
      <c r="T93" s="4">
        <v>92</v>
      </c>
    </row>
    <row r="94" spans="17:20" x14ac:dyDescent="0.2">
      <c r="Q94" s="13"/>
      <c r="R94" s="4" t="s">
        <v>8</v>
      </c>
      <c r="S94" s="4">
        <v>30159.353500000001</v>
      </c>
      <c r="T94" s="4">
        <v>93</v>
      </c>
    </row>
    <row r="95" spans="17:20" x14ac:dyDescent="0.2">
      <c r="Q95" s="13"/>
      <c r="R95" s="4" t="s">
        <v>8</v>
      </c>
      <c r="S95" s="4">
        <v>30488.405999999999</v>
      </c>
      <c r="T95" s="4">
        <v>94</v>
      </c>
    </row>
    <row r="96" spans="17:20" x14ac:dyDescent="0.2">
      <c r="Q96" s="13"/>
      <c r="R96" s="4" t="s">
        <v>8</v>
      </c>
      <c r="S96" s="4">
        <v>30817.458500000001</v>
      </c>
      <c r="T96" s="4">
        <v>95</v>
      </c>
    </row>
    <row r="97" spans="17:20" x14ac:dyDescent="0.2">
      <c r="Q97" s="13"/>
      <c r="R97" s="4" t="s">
        <v>8</v>
      </c>
      <c r="S97" s="4">
        <v>31146.510999999999</v>
      </c>
      <c r="T97" s="4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64E6-42D1-4C4E-8005-45250A0C50FB}">
  <dimension ref="A1:I5"/>
  <sheetViews>
    <sheetView zoomScale="125" workbookViewId="0">
      <selection sqref="A1:G1"/>
    </sheetView>
  </sheetViews>
  <sheetFormatPr baseColWidth="10" defaultRowHeight="15" x14ac:dyDescent="0.2"/>
  <sheetData>
    <row r="1" spans="1:9" x14ac:dyDescent="0.2">
      <c r="A1" t="s">
        <v>0</v>
      </c>
      <c r="B1" t="s">
        <v>239</v>
      </c>
      <c r="C1" t="s">
        <v>240</v>
      </c>
      <c r="D1" t="s">
        <v>1</v>
      </c>
      <c r="E1" t="s">
        <v>2</v>
      </c>
      <c r="F1" t="s">
        <v>3</v>
      </c>
      <c r="G1" t="s">
        <v>241</v>
      </c>
      <c r="I1" t="s">
        <v>255</v>
      </c>
    </row>
    <row r="2" spans="1:9" x14ac:dyDescent="0.2">
      <c r="A2" s="4" t="s">
        <v>9</v>
      </c>
      <c r="B2" s="4">
        <v>1162.145</v>
      </c>
      <c r="C2" s="4">
        <v>4</v>
      </c>
      <c r="D2" s="4">
        <v>1162.1389999999999</v>
      </c>
      <c r="E2" s="4">
        <v>61375.17</v>
      </c>
      <c r="F2" s="4">
        <v>23.252817</v>
      </c>
      <c r="G2" s="4">
        <v>5.3870499000000002E-2</v>
      </c>
    </row>
    <row r="3" spans="1:9" x14ac:dyDescent="0.2">
      <c r="A3" s="4" t="s">
        <v>9</v>
      </c>
      <c r="B3" s="4">
        <v>2386.2469999999998</v>
      </c>
      <c r="C3" s="4">
        <v>8</v>
      </c>
      <c r="D3" s="4">
        <v>2386.2460000000001</v>
      </c>
      <c r="E3" s="4">
        <v>18591.46</v>
      </c>
      <c r="F3" s="4">
        <v>0.87054949999999998</v>
      </c>
      <c r="G3" s="4">
        <v>1.6318182000000001E-2</v>
      </c>
    </row>
    <row r="4" spans="1:9" x14ac:dyDescent="0.2">
      <c r="A4" s="4" t="s">
        <v>9</v>
      </c>
      <c r="B4" s="4">
        <v>21971.866000000002</v>
      </c>
      <c r="C4" s="4">
        <v>72</v>
      </c>
      <c r="D4" s="4">
        <v>21971.762999999999</v>
      </c>
      <c r="E4" s="4">
        <v>2076.9499999999998</v>
      </c>
      <c r="F4" s="4">
        <v>14.0992728</v>
      </c>
      <c r="G4" s="4">
        <v>1.82299E-3</v>
      </c>
    </row>
    <row r="5" spans="1:9" x14ac:dyDescent="0.2">
      <c r="A5" s="4" t="s">
        <v>9</v>
      </c>
      <c r="B5" s="4">
        <v>26562.244999999999</v>
      </c>
      <c r="C5" s="4">
        <v>87</v>
      </c>
      <c r="D5" s="4">
        <v>26562.217000000001</v>
      </c>
      <c r="E5" s="4">
        <v>4269.53</v>
      </c>
      <c r="F5" s="4">
        <v>17.2173506</v>
      </c>
      <c r="G5" s="4">
        <v>3.747472E-3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5A69-C4F8-B141-93CD-535244D7E9D0}">
  <dimension ref="A1:T73"/>
  <sheetViews>
    <sheetView workbookViewId="0">
      <selection activeCell="Q29" sqref="Q29"/>
    </sheetView>
  </sheetViews>
  <sheetFormatPr baseColWidth="10" defaultRowHeight="15" x14ac:dyDescent="0.2"/>
  <sheetData>
    <row r="1" spans="1:20" x14ac:dyDescent="0.2">
      <c r="A1" t="s">
        <v>0</v>
      </c>
      <c r="B1" t="s">
        <v>239</v>
      </c>
      <c r="C1" t="s">
        <v>240</v>
      </c>
      <c r="D1" t="s">
        <v>1</v>
      </c>
      <c r="E1" t="s">
        <v>2</v>
      </c>
      <c r="F1" t="s">
        <v>3</v>
      </c>
      <c r="G1" t="s">
        <v>241</v>
      </c>
      <c r="Q1" s="13"/>
      <c r="R1" s="4" t="s">
        <v>270</v>
      </c>
      <c r="S1" s="4">
        <v>-39.974029999999999</v>
      </c>
      <c r="T1" s="4">
        <v>0</v>
      </c>
    </row>
    <row r="2" spans="1:20" x14ac:dyDescent="0.2">
      <c r="H2" s="3" t="s">
        <v>269</v>
      </c>
      <c r="Q2" s="13"/>
      <c r="R2" s="4" t="s">
        <v>9</v>
      </c>
      <c r="S2" s="4">
        <v>266.05126999999999</v>
      </c>
      <c r="T2" s="4">
        <v>1</v>
      </c>
    </row>
    <row r="3" spans="1:20" x14ac:dyDescent="0.2">
      <c r="Q3" s="13"/>
      <c r="R3" s="4" t="s">
        <v>9</v>
      </c>
      <c r="S3" s="4">
        <v>572.07656999999995</v>
      </c>
      <c r="T3" s="4">
        <v>2</v>
      </c>
    </row>
    <row r="4" spans="1:20" x14ac:dyDescent="0.2">
      <c r="Q4" s="13"/>
      <c r="R4" s="4" t="s">
        <v>9</v>
      </c>
      <c r="S4" s="4">
        <v>878.10186999999996</v>
      </c>
      <c r="T4" s="4">
        <v>3</v>
      </c>
    </row>
    <row r="5" spans="1:20" x14ac:dyDescent="0.2">
      <c r="Q5" s="13"/>
      <c r="R5" s="4" t="s">
        <v>9</v>
      </c>
      <c r="S5" s="4">
        <v>1184.12717</v>
      </c>
      <c r="T5" s="4">
        <v>4</v>
      </c>
    </row>
    <row r="6" spans="1:20" x14ac:dyDescent="0.2">
      <c r="Q6" s="13"/>
      <c r="R6" s="4" t="s">
        <v>9</v>
      </c>
      <c r="S6" s="4">
        <v>1490.15247</v>
      </c>
      <c r="T6" s="4">
        <v>5</v>
      </c>
    </row>
    <row r="7" spans="1:20" x14ac:dyDescent="0.2">
      <c r="Q7" s="13"/>
      <c r="R7" s="4" t="s">
        <v>9</v>
      </c>
      <c r="S7" s="4">
        <v>1796.17777</v>
      </c>
      <c r="T7" s="4">
        <v>6</v>
      </c>
    </row>
    <row r="8" spans="1:20" x14ac:dyDescent="0.2">
      <c r="Q8" s="13"/>
      <c r="R8" s="4" t="s">
        <v>9</v>
      </c>
      <c r="S8" s="4">
        <v>2102.20307</v>
      </c>
      <c r="T8" s="4">
        <v>7</v>
      </c>
    </row>
    <row r="9" spans="1:20" s="10" customFormat="1" x14ac:dyDescent="0.2">
      <c r="A9" s="9" t="s">
        <v>9</v>
      </c>
      <c r="B9" s="9">
        <v>4244.38</v>
      </c>
      <c r="C9" s="9">
        <v>14</v>
      </c>
      <c r="D9" s="9">
        <v>4244.4790000000003</v>
      </c>
      <c r="E9" s="9">
        <v>8305.94</v>
      </c>
      <c r="F9" s="9">
        <v>6.6631429999999998</v>
      </c>
      <c r="G9" s="9">
        <v>0.2369851</v>
      </c>
      <c r="H9" s="10" t="s">
        <v>250</v>
      </c>
      <c r="Q9" s="18"/>
      <c r="R9" s="9" t="s">
        <v>9</v>
      </c>
      <c r="S9" s="9">
        <v>2408.2283699999998</v>
      </c>
      <c r="T9" s="9">
        <v>8</v>
      </c>
    </row>
    <row r="10" spans="1:20" s="10" customFormat="1" x14ac:dyDescent="0.2">
      <c r="A10" s="9" t="s">
        <v>9</v>
      </c>
      <c r="B10" s="9">
        <v>6386.5569999999998</v>
      </c>
      <c r="C10" s="9">
        <v>21</v>
      </c>
      <c r="D10" s="9">
        <v>6386.8239999999996</v>
      </c>
      <c r="E10" s="9">
        <v>27229.200000000001</v>
      </c>
      <c r="F10" s="9">
        <v>8.6993729999999996</v>
      </c>
      <c r="G10" s="9">
        <v>0.77690349999999997</v>
      </c>
      <c r="H10" s="10" t="s">
        <v>250</v>
      </c>
      <c r="Q10" s="18"/>
      <c r="R10" s="9" t="s">
        <v>9</v>
      </c>
      <c r="S10" s="9">
        <v>2714.2536700000001</v>
      </c>
      <c r="T10" s="9">
        <v>9</v>
      </c>
    </row>
    <row r="11" spans="1:20" s="10" customFormat="1" x14ac:dyDescent="0.2">
      <c r="A11" s="9" t="s">
        <v>9</v>
      </c>
      <c r="B11" s="9">
        <v>6998.6080000000002</v>
      </c>
      <c r="C11" s="9">
        <v>23</v>
      </c>
      <c r="D11" s="9">
        <v>6998.8819999999996</v>
      </c>
      <c r="E11" s="9">
        <v>114855.25</v>
      </c>
      <c r="F11" s="9">
        <v>9.3293359999999996</v>
      </c>
      <c r="G11" s="9">
        <v>3.2770497999999999</v>
      </c>
      <c r="H11" s="10" t="s">
        <v>250</v>
      </c>
      <c r="Q11" s="18"/>
      <c r="R11" s="9" t="s">
        <v>9</v>
      </c>
      <c r="S11" s="9">
        <v>3020.2789699999998</v>
      </c>
      <c r="T11" s="9">
        <v>10</v>
      </c>
    </row>
    <row r="12" spans="1:20" s="10" customFormat="1" x14ac:dyDescent="0.2">
      <c r="A12" s="9" t="s">
        <v>9</v>
      </c>
      <c r="B12" s="9">
        <v>8222.7090000000007</v>
      </c>
      <c r="C12" s="9">
        <v>27</v>
      </c>
      <c r="D12" s="9">
        <v>8223.0490000000009</v>
      </c>
      <c r="E12" s="9">
        <v>47615.15</v>
      </c>
      <c r="F12" s="9">
        <v>10.167980999999999</v>
      </c>
      <c r="G12" s="9">
        <v>1.3585554</v>
      </c>
      <c r="H12" s="10" t="s">
        <v>250</v>
      </c>
      <c r="Q12" s="18"/>
      <c r="R12" s="9" t="s">
        <v>9</v>
      </c>
      <c r="S12" s="9">
        <v>3326.3042700000001</v>
      </c>
      <c r="T12" s="9">
        <v>11</v>
      </c>
    </row>
    <row r="13" spans="1:20" s="10" customFormat="1" x14ac:dyDescent="0.2">
      <c r="A13" s="9" t="s">
        <v>9</v>
      </c>
      <c r="B13" s="9">
        <v>10364.886</v>
      </c>
      <c r="C13" s="9">
        <v>34</v>
      </c>
      <c r="D13" s="9">
        <v>10364.388000000001</v>
      </c>
      <c r="E13" s="9">
        <v>71699.17</v>
      </c>
      <c r="F13" s="9">
        <v>11.669668</v>
      </c>
      <c r="G13" s="9">
        <v>2.0457206000000001</v>
      </c>
      <c r="H13" s="10" t="s">
        <v>250</v>
      </c>
      <c r="Q13" s="18"/>
      <c r="R13" s="9" t="s">
        <v>9</v>
      </c>
      <c r="S13" s="9">
        <v>3632.3295699999999</v>
      </c>
      <c r="T13" s="9">
        <v>12</v>
      </c>
    </row>
    <row r="14" spans="1:20" s="10" customFormat="1" x14ac:dyDescent="0.2">
      <c r="A14" s="9" t="s">
        <v>9</v>
      </c>
      <c r="B14" s="9">
        <v>10976.937</v>
      </c>
      <c r="C14" s="9">
        <v>36</v>
      </c>
      <c r="D14" s="9">
        <v>10977.441000000001</v>
      </c>
      <c r="E14" s="9">
        <v>58086</v>
      </c>
      <c r="F14" s="9">
        <v>11.84679</v>
      </c>
      <c r="G14" s="9">
        <v>1.6573097000000001</v>
      </c>
      <c r="H14" s="10" t="s">
        <v>250</v>
      </c>
      <c r="Q14" s="18"/>
      <c r="R14" s="9" t="s">
        <v>9</v>
      </c>
      <c r="S14" s="9">
        <v>3938.3548700000001</v>
      </c>
      <c r="T14" s="9">
        <v>13</v>
      </c>
    </row>
    <row r="15" spans="1:20" s="10" customFormat="1" x14ac:dyDescent="0.2">
      <c r="A15" s="9" t="s">
        <v>9</v>
      </c>
      <c r="B15" s="9">
        <v>14955.266</v>
      </c>
      <c r="C15" s="9">
        <v>49</v>
      </c>
      <c r="D15" s="9">
        <v>14954.947</v>
      </c>
      <c r="E15" s="9">
        <v>21483.86</v>
      </c>
      <c r="F15" s="9">
        <v>13.108905999999999</v>
      </c>
      <c r="G15" s="9">
        <v>0.61297749999999995</v>
      </c>
      <c r="H15" s="10" t="s">
        <v>250</v>
      </c>
      <c r="Q15" s="18"/>
      <c r="R15" s="9" t="s">
        <v>9</v>
      </c>
      <c r="S15" s="9">
        <v>4244.3801700000004</v>
      </c>
      <c r="T15" s="9">
        <v>14</v>
      </c>
    </row>
    <row r="16" spans="1:20" s="10" customFormat="1" x14ac:dyDescent="0.2">
      <c r="A16" s="9" t="s">
        <v>9</v>
      </c>
      <c r="B16" s="9">
        <v>16791.417000000001</v>
      </c>
      <c r="C16" s="9">
        <v>55</v>
      </c>
      <c r="D16" s="9">
        <v>16791.181</v>
      </c>
      <c r="E16" s="9">
        <v>22785.34</v>
      </c>
      <c r="F16" s="9">
        <v>13.381479000000001</v>
      </c>
      <c r="G16" s="9">
        <v>0.65011129999999995</v>
      </c>
      <c r="H16" s="10" t="s">
        <v>250</v>
      </c>
      <c r="Q16" s="18"/>
      <c r="R16" s="9" t="s">
        <v>9</v>
      </c>
      <c r="S16" s="9">
        <v>4550.4054699999997</v>
      </c>
      <c r="T16" s="9">
        <v>15</v>
      </c>
    </row>
    <row r="17" spans="17:20" x14ac:dyDescent="0.2">
      <c r="Q17" s="13"/>
      <c r="R17" s="4" t="s">
        <v>9</v>
      </c>
      <c r="S17" s="4">
        <v>4856.4307699999999</v>
      </c>
      <c r="T17" s="4">
        <v>16</v>
      </c>
    </row>
    <row r="18" spans="17:20" x14ac:dyDescent="0.2">
      <c r="Q18" s="13"/>
      <c r="R18" s="4" t="s">
        <v>9</v>
      </c>
      <c r="S18" s="4">
        <v>5162.4560700000002</v>
      </c>
      <c r="T18" s="4">
        <v>17</v>
      </c>
    </row>
    <row r="19" spans="17:20" x14ac:dyDescent="0.2">
      <c r="Q19" s="13"/>
      <c r="R19" s="4" t="s">
        <v>9</v>
      </c>
      <c r="S19" s="4">
        <v>5468.4813700000004</v>
      </c>
      <c r="T19" s="4">
        <v>18</v>
      </c>
    </row>
    <row r="20" spans="17:20" x14ac:dyDescent="0.2">
      <c r="Q20" s="13"/>
      <c r="R20" s="4" t="s">
        <v>9</v>
      </c>
      <c r="S20" s="4">
        <v>5774.5066699999998</v>
      </c>
      <c r="T20" s="4">
        <v>19</v>
      </c>
    </row>
    <row r="21" spans="17:20" x14ac:dyDescent="0.2">
      <c r="Q21" s="13"/>
      <c r="R21" s="4" t="s">
        <v>9</v>
      </c>
      <c r="S21" s="4">
        <v>6080.53197</v>
      </c>
      <c r="T21" s="4">
        <v>20</v>
      </c>
    </row>
    <row r="22" spans="17:20" x14ac:dyDescent="0.2">
      <c r="Q22" s="13"/>
      <c r="R22" s="4" t="s">
        <v>9</v>
      </c>
      <c r="S22" s="4">
        <v>6386.5572700000002</v>
      </c>
      <c r="T22" s="4">
        <v>21</v>
      </c>
    </row>
    <row r="23" spans="17:20" x14ac:dyDescent="0.2">
      <c r="Q23" s="13"/>
      <c r="R23" s="4" t="s">
        <v>9</v>
      </c>
      <c r="S23" s="4">
        <v>6692.5825699999996</v>
      </c>
      <c r="T23" s="4">
        <v>22</v>
      </c>
    </row>
    <row r="24" spans="17:20" x14ac:dyDescent="0.2">
      <c r="Q24" s="13"/>
      <c r="R24" s="4" t="s">
        <v>9</v>
      </c>
      <c r="S24" s="4">
        <v>6998.6078699999998</v>
      </c>
      <c r="T24" s="4">
        <v>23</v>
      </c>
    </row>
    <row r="25" spans="17:20" x14ac:dyDescent="0.2">
      <c r="Q25" s="13"/>
      <c r="R25" s="4" t="s">
        <v>9</v>
      </c>
      <c r="S25" s="4">
        <v>7304.6331700000001</v>
      </c>
      <c r="T25" s="4">
        <v>24</v>
      </c>
    </row>
    <row r="26" spans="17:20" x14ac:dyDescent="0.2">
      <c r="Q26" s="13"/>
      <c r="R26" s="4" t="s">
        <v>9</v>
      </c>
      <c r="S26" s="4">
        <v>7610.6584700000003</v>
      </c>
      <c r="T26" s="4">
        <v>25</v>
      </c>
    </row>
    <row r="27" spans="17:20" x14ac:dyDescent="0.2">
      <c r="Q27" s="13"/>
      <c r="R27" s="4" t="s">
        <v>9</v>
      </c>
      <c r="S27" s="4">
        <v>7916.6837699999996</v>
      </c>
      <c r="T27" s="4">
        <v>26</v>
      </c>
    </row>
    <row r="28" spans="17:20" x14ac:dyDescent="0.2">
      <c r="Q28" s="13"/>
      <c r="R28" s="4" t="s">
        <v>9</v>
      </c>
      <c r="S28" s="4">
        <v>8222.7090700000008</v>
      </c>
      <c r="T28" s="4">
        <v>27</v>
      </c>
    </row>
    <row r="29" spans="17:20" x14ac:dyDescent="0.2">
      <c r="Q29" s="13"/>
      <c r="R29" s="4" t="s">
        <v>9</v>
      </c>
      <c r="S29" s="4">
        <v>8528.7343700000001</v>
      </c>
      <c r="T29" s="4">
        <v>28</v>
      </c>
    </row>
    <row r="30" spans="17:20" x14ac:dyDescent="0.2">
      <c r="Q30" s="13"/>
      <c r="R30" s="4" t="s">
        <v>9</v>
      </c>
      <c r="S30" s="4">
        <v>8834.7596699999995</v>
      </c>
      <c r="T30" s="4">
        <v>29</v>
      </c>
    </row>
    <row r="31" spans="17:20" x14ac:dyDescent="0.2">
      <c r="Q31" s="13"/>
      <c r="R31" s="4" t="s">
        <v>9</v>
      </c>
      <c r="S31" s="4">
        <v>9140.7849700000006</v>
      </c>
      <c r="T31" s="4">
        <v>30</v>
      </c>
    </row>
    <row r="32" spans="17:20" x14ac:dyDescent="0.2">
      <c r="Q32" s="13"/>
      <c r="R32" s="4" t="s">
        <v>9</v>
      </c>
      <c r="S32" s="4">
        <v>9446.8102699999999</v>
      </c>
      <c r="T32" s="4">
        <v>31</v>
      </c>
    </row>
    <row r="33" spans="17:20" x14ac:dyDescent="0.2">
      <c r="Q33" s="13"/>
      <c r="R33" s="4" t="s">
        <v>9</v>
      </c>
      <c r="S33" s="4">
        <v>9752.8355699999993</v>
      </c>
      <c r="T33" s="4">
        <v>32</v>
      </c>
    </row>
    <row r="34" spans="17:20" x14ac:dyDescent="0.2">
      <c r="Q34" s="13"/>
      <c r="R34" s="4" t="s">
        <v>9</v>
      </c>
      <c r="S34" s="4">
        <v>10058.86087</v>
      </c>
      <c r="T34" s="4">
        <v>33</v>
      </c>
    </row>
    <row r="35" spans="17:20" x14ac:dyDescent="0.2">
      <c r="Q35" s="13"/>
      <c r="R35" s="4" t="s">
        <v>9</v>
      </c>
      <c r="S35" s="4">
        <v>10364.88617</v>
      </c>
      <c r="T35" s="4">
        <v>34</v>
      </c>
    </row>
    <row r="36" spans="17:20" x14ac:dyDescent="0.2">
      <c r="Q36" s="13"/>
      <c r="R36" s="4" t="s">
        <v>9</v>
      </c>
      <c r="S36" s="4">
        <v>10670.911469999999</v>
      </c>
      <c r="T36" s="4">
        <v>35</v>
      </c>
    </row>
    <row r="37" spans="17:20" x14ac:dyDescent="0.2">
      <c r="Q37" s="13"/>
      <c r="R37" s="4" t="s">
        <v>9</v>
      </c>
      <c r="S37" s="4">
        <v>10976.93677</v>
      </c>
      <c r="T37" s="4">
        <v>36</v>
      </c>
    </row>
    <row r="38" spans="17:20" x14ac:dyDescent="0.2">
      <c r="Q38" s="13"/>
      <c r="R38" s="4" t="s">
        <v>9</v>
      </c>
      <c r="S38" s="4">
        <v>11282.96207</v>
      </c>
      <c r="T38" s="4">
        <v>37</v>
      </c>
    </row>
    <row r="39" spans="17:20" x14ac:dyDescent="0.2">
      <c r="Q39" s="13"/>
      <c r="R39" s="4" t="s">
        <v>9</v>
      </c>
      <c r="S39" s="4">
        <v>11588.987370000001</v>
      </c>
      <c r="T39" s="4">
        <v>38</v>
      </c>
    </row>
    <row r="40" spans="17:20" x14ac:dyDescent="0.2">
      <c r="Q40" s="13"/>
      <c r="R40" s="4" t="s">
        <v>9</v>
      </c>
      <c r="S40" s="4">
        <v>11895.01267</v>
      </c>
      <c r="T40" s="4">
        <v>39</v>
      </c>
    </row>
    <row r="41" spans="17:20" x14ac:dyDescent="0.2">
      <c r="Q41" s="13"/>
      <c r="R41" s="4" t="s">
        <v>9</v>
      </c>
      <c r="S41" s="4">
        <v>12201.037969999999</v>
      </c>
      <c r="T41" s="4">
        <v>40</v>
      </c>
    </row>
    <row r="42" spans="17:20" x14ac:dyDescent="0.2">
      <c r="Q42" s="13"/>
      <c r="R42" s="4" t="s">
        <v>9</v>
      </c>
      <c r="S42" s="4">
        <v>12507.063270000001</v>
      </c>
      <c r="T42" s="4">
        <v>41</v>
      </c>
    </row>
    <row r="43" spans="17:20" x14ac:dyDescent="0.2">
      <c r="Q43" s="13"/>
      <c r="R43" s="4" t="s">
        <v>9</v>
      </c>
      <c r="S43" s="4">
        <v>12813.08857</v>
      </c>
      <c r="T43" s="4">
        <v>42</v>
      </c>
    </row>
    <row r="44" spans="17:20" x14ac:dyDescent="0.2">
      <c r="Q44" s="13"/>
      <c r="R44" s="4" t="s">
        <v>9</v>
      </c>
      <c r="S44" s="4">
        <v>13119.113869999999</v>
      </c>
      <c r="T44" s="4">
        <v>43</v>
      </c>
    </row>
    <row r="45" spans="17:20" x14ac:dyDescent="0.2">
      <c r="Q45" s="13"/>
      <c r="R45" s="4" t="s">
        <v>9</v>
      </c>
      <c r="S45" s="4">
        <v>13425.13917</v>
      </c>
      <c r="T45" s="4">
        <v>44</v>
      </c>
    </row>
    <row r="46" spans="17:20" x14ac:dyDescent="0.2">
      <c r="Q46" s="13"/>
      <c r="R46" s="4" t="s">
        <v>9</v>
      </c>
      <c r="S46" s="4">
        <v>13731.16447</v>
      </c>
      <c r="T46" s="4">
        <v>45</v>
      </c>
    </row>
    <row r="47" spans="17:20" x14ac:dyDescent="0.2">
      <c r="Q47" s="13"/>
      <c r="R47" s="4" t="s">
        <v>9</v>
      </c>
      <c r="S47" s="4">
        <v>14037.189770000001</v>
      </c>
      <c r="T47" s="4">
        <v>46</v>
      </c>
    </row>
    <row r="48" spans="17:20" x14ac:dyDescent="0.2">
      <c r="Q48" s="13"/>
      <c r="R48" s="4" t="s">
        <v>9</v>
      </c>
      <c r="S48" s="4">
        <v>14343.21507</v>
      </c>
      <c r="T48" s="4">
        <v>47</v>
      </c>
    </row>
    <row r="49" spans="17:20" x14ac:dyDescent="0.2">
      <c r="Q49" s="13"/>
      <c r="R49" s="4" t="s">
        <v>9</v>
      </c>
      <c r="S49" s="4">
        <v>14649.24037</v>
      </c>
      <c r="T49" s="4">
        <v>48</v>
      </c>
    </row>
    <row r="50" spans="17:20" x14ac:dyDescent="0.2">
      <c r="Q50" s="13"/>
      <c r="R50" s="4" t="s">
        <v>9</v>
      </c>
      <c r="S50" s="4">
        <v>14955.265670000001</v>
      </c>
      <c r="T50" s="4">
        <v>49</v>
      </c>
    </row>
    <row r="51" spans="17:20" x14ac:dyDescent="0.2">
      <c r="Q51" s="13"/>
      <c r="R51" s="4" t="s">
        <v>9</v>
      </c>
      <c r="S51" s="4">
        <v>15261.29097</v>
      </c>
      <c r="T51" s="4">
        <v>50</v>
      </c>
    </row>
    <row r="52" spans="17:20" x14ac:dyDescent="0.2">
      <c r="Q52" s="13"/>
      <c r="R52" s="4" t="s">
        <v>9</v>
      </c>
      <c r="S52" s="4">
        <v>15567.316269999999</v>
      </c>
      <c r="T52" s="4">
        <v>51</v>
      </c>
    </row>
    <row r="53" spans="17:20" x14ac:dyDescent="0.2">
      <c r="Q53" s="13"/>
      <c r="R53" s="4" t="s">
        <v>9</v>
      </c>
      <c r="S53" s="4">
        <v>15873.341570000001</v>
      </c>
      <c r="T53" s="4">
        <v>52</v>
      </c>
    </row>
    <row r="54" spans="17:20" x14ac:dyDescent="0.2">
      <c r="Q54" s="13"/>
      <c r="R54" s="4" t="s">
        <v>9</v>
      </c>
      <c r="S54" s="4">
        <v>16179.36687</v>
      </c>
      <c r="T54" s="4">
        <v>53</v>
      </c>
    </row>
    <row r="55" spans="17:20" x14ac:dyDescent="0.2">
      <c r="Q55" s="13"/>
      <c r="R55" s="4" t="s">
        <v>9</v>
      </c>
      <c r="S55" s="4">
        <v>16485.392169999999</v>
      </c>
      <c r="T55" s="4">
        <v>54</v>
      </c>
    </row>
    <row r="56" spans="17:20" x14ac:dyDescent="0.2">
      <c r="Q56" s="13"/>
      <c r="R56" s="4" t="s">
        <v>9</v>
      </c>
      <c r="S56" s="4">
        <v>16791.41747</v>
      </c>
      <c r="T56" s="4">
        <v>55</v>
      </c>
    </row>
    <row r="57" spans="17:20" x14ac:dyDescent="0.2">
      <c r="Q57" s="13"/>
      <c r="R57" s="4" t="s">
        <v>9</v>
      </c>
      <c r="S57" s="4">
        <v>17097.442770000001</v>
      </c>
      <c r="T57" s="4">
        <v>56</v>
      </c>
    </row>
    <row r="58" spans="17:20" x14ac:dyDescent="0.2">
      <c r="Q58" s="13"/>
      <c r="R58" s="4" t="s">
        <v>9</v>
      </c>
      <c r="S58" s="4">
        <v>17403.468069999999</v>
      </c>
      <c r="T58" s="4">
        <v>57</v>
      </c>
    </row>
    <row r="59" spans="17:20" x14ac:dyDescent="0.2">
      <c r="Q59" s="13"/>
      <c r="R59" s="4" t="s">
        <v>9</v>
      </c>
      <c r="S59" s="4">
        <v>17709.49337</v>
      </c>
      <c r="T59" s="4">
        <v>58</v>
      </c>
    </row>
    <row r="60" spans="17:20" x14ac:dyDescent="0.2">
      <c r="Q60" s="13"/>
      <c r="R60" s="4" t="s">
        <v>9</v>
      </c>
      <c r="S60" s="4">
        <v>18015.518670000001</v>
      </c>
      <c r="T60" s="4">
        <v>59</v>
      </c>
    </row>
    <row r="61" spans="17:20" x14ac:dyDescent="0.2">
      <c r="Q61" s="13"/>
      <c r="R61" s="4" t="s">
        <v>9</v>
      </c>
      <c r="S61" s="4">
        <v>18321.543969999999</v>
      </c>
      <c r="T61" s="4">
        <v>60</v>
      </c>
    </row>
    <row r="62" spans="17:20" x14ac:dyDescent="0.2">
      <c r="Q62" s="13"/>
      <c r="R62" s="4" t="s">
        <v>9</v>
      </c>
      <c r="S62" s="4">
        <v>18627.56927</v>
      </c>
      <c r="T62" s="4">
        <v>61</v>
      </c>
    </row>
    <row r="63" spans="17:20" x14ac:dyDescent="0.2">
      <c r="Q63" s="13"/>
      <c r="R63" s="4" t="s">
        <v>9</v>
      </c>
      <c r="S63" s="4">
        <v>18933.594570000001</v>
      </c>
      <c r="T63" s="4">
        <v>62</v>
      </c>
    </row>
    <row r="64" spans="17:20" x14ac:dyDescent="0.2">
      <c r="Q64" s="13"/>
      <c r="R64" s="4" t="s">
        <v>9</v>
      </c>
      <c r="S64" s="4">
        <v>19239.619869999999</v>
      </c>
      <c r="T64" s="4">
        <v>63</v>
      </c>
    </row>
    <row r="65" spans="17:20" x14ac:dyDescent="0.2">
      <c r="Q65" s="13"/>
      <c r="R65" s="4" t="s">
        <v>9</v>
      </c>
      <c r="S65" s="4">
        <v>19545.64517</v>
      </c>
      <c r="T65" s="4">
        <v>64</v>
      </c>
    </row>
    <row r="66" spans="17:20" x14ac:dyDescent="0.2">
      <c r="Q66" s="13"/>
      <c r="R66" s="4" t="s">
        <v>9</v>
      </c>
      <c r="S66" s="4">
        <v>19851.670470000001</v>
      </c>
      <c r="T66" s="4">
        <v>65</v>
      </c>
    </row>
    <row r="67" spans="17:20" x14ac:dyDescent="0.2">
      <c r="Q67" s="13"/>
      <c r="R67" s="4" t="s">
        <v>9</v>
      </c>
      <c r="S67" s="4">
        <v>20157.695769999998</v>
      </c>
      <c r="T67" s="4">
        <v>66</v>
      </c>
    </row>
    <row r="68" spans="17:20" x14ac:dyDescent="0.2">
      <c r="Q68" s="13"/>
      <c r="R68" s="4" t="s">
        <v>9</v>
      </c>
      <c r="S68" s="4">
        <v>20463.72107</v>
      </c>
      <c r="T68" s="4">
        <v>67</v>
      </c>
    </row>
    <row r="69" spans="17:20" x14ac:dyDescent="0.2">
      <c r="Q69" s="13"/>
      <c r="R69" s="4" t="s">
        <v>9</v>
      </c>
      <c r="S69" s="4">
        <v>20769.746370000001</v>
      </c>
      <c r="T69" s="4">
        <v>68</v>
      </c>
    </row>
    <row r="70" spans="17:20" x14ac:dyDescent="0.2">
      <c r="Q70" s="13"/>
      <c r="R70" s="4" t="s">
        <v>9</v>
      </c>
      <c r="S70" s="4">
        <v>21075.771669999998</v>
      </c>
      <c r="T70" s="4">
        <v>69</v>
      </c>
    </row>
    <row r="71" spans="17:20" x14ac:dyDescent="0.2">
      <c r="Q71" s="13"/>
      <c r="R71" s="4" t="s">
        <v>9</v>
      </c>
      <c r="S71" s="4">
        <v>21381.796969999999</v>
      </c>
      <c r="T71" s="4">
        <v>70</v>
      </c>
    </row>
    <row r="72" spans="17:20" x14ac:dyDescent="0.2">
      <c r="Q72" s="13"/>
      <c r="R72" s="4" t="s">
        <v>9</v>
      </c>
      <c r="S72" s="4">
        <v>21687.822270000001</v>
      </c>
      <c r="T72" s="4">
        <v>71</v>
      </c>
    </row>
    <row r="73" spans="17:20" x14ac:dyDescent="0.2">
      <c r="Q73" s="13"/>
      <c r="R73" s="4" t="s">
        <v>9</v>
      </c>
      <c r="S73" s="4">
        <v>22073.818640000001</v>
      </c>
      <c r="T73" s="4">
        <v>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EFED-556D-4C4B-A552-05C20C3A5916}">
  <dimension ref="A1:Q72"/>
  <sheetViews>
    <sheetView workbookViewId="0">
      <selection activeCell="N4" sqref="N4:Q11"/>
    </sheetView>
  </sheetViews>
  <sheetFormatPr baseColWidth="10" defaultRowHeight="15" x14ac:dyDescent="0.2"/>
  <sheetData>
    <row r="1" spans="1:17" x14ac:dyDescent="0.2">
      <c r="A1" t="s">
        <v>0</v>
      </c>
      <c r="B1" t="s">
        <v>239</v>
      </c>
      <c r="C1" t="s">
        <v>240</v>
      </c>
      <c r="D1" t="s">
        <v>1</v>
      </c>
      <c r="E1" t="s">
        <v>2</v>
      </c>
      <c r="F1" t="s">
        <v>3</v>
      </c>
      <c r="G1" t="s">
        <v>241</v>
      </c>
      <c r="N1" s="13"/>
      <c r="O1" s="4" t="s">
        <v>266</v>
      </c>
      <c r="P1" s="4">
        <v>39.996760000000002</v>
      </c>
      <c r="Q1" s="4">
        <v>0</v>
      </c>
    </row>
    <row r="2" spans="1:17" x14ac:dyDescent="0.2">
      <c r="H2" s="3" t="s">
        <v>269</v>
      </c>
      <c r="N2" s="13"/>
      <c r="O2" s="4" t="s">
        <v>9</v>
      </c>
      <c r="P2" s="4">
        <v>346.02206000000001</v>
      </c>
      <c r="Q2" s="4">
        <v>1</v>
      </c>
    </row>
    <row r="3" spans="1:17" x14ac:dyDescent="0.2">
      <c r="A3" s="13"/>
      <c r="N3" s="13"/>
      <c r="O3" s="4" t="s">
        <v>9</v>
      </c>
      <c r="P3" s="4">
        <v>652.04736000000003</v>
      </c>
      <c r="Q3" s="4">
        <v>2</v>
      </c>
    </row>
    <row r="4" spans="1:17" s="10" customFormat="1" x14ac:dyDescent="0.2">
      <c r="A4" s="9" t="s">
        <v>9</v>
      </c>
      <c r="B4" s="9">
        <v>2182.174</v>
      </c>
      <c r="C4" s="9">
        <v>7</v>
      </c>
      <c r="D4" s="9">
        <v>2182.2359999999999</v>
      </c>
      <c r="E4" s="9">
        <v>449790.01</v>
      </c>
      <c r="F4" s="9">
        <v>0.98799590000000004</v>
      </c>
      <c r="G4" s="9">
        <v>12.833408</v>
      </c>
      <c r="H4" s="10" t="s">
        <v>250</v>
      </c>
      <c r="N4" s="13"/>
      <c r="O4" s="4" t="s">
        <v>9</v>
      </c>
      <c r="P4" s="4">
        <v>958.07266000000004</v>
      </c>
      <c r="Q4" s="4">
        <v>3</v>
      </c>
    </row>
    <row r="5" spans="1:17" s="10" customFormat="1" x14ac:dyDescent="0.2">
      <c r="A5" s="9" t="s">
        <v>9</v>
      </c>
      <c r="B5" s="9">
        <v>6160.5029999999997</v>
      </c>
      <c r="C5" s="9">
        <v>20</v>
      </c>
      <c r="D5" s="9">
        <v>6160.7979999999998</v>
      </c>
      <c r="E5" s="9">
        <v>57205.69</v>
      </c>
      <c r="F5" s="9">
        <v>8.6993728000000008</v>
      </c>
      <c r="G5" s="9">
        <v>1.632193</v>
      </c>
      <c r="H5" s="10" t="str">
        <f>H4</f>
        <v xml:space="preserve"> will require 50 ppm</v>
      </c>
      <c r="N5" s="13"/>
      <c r="O5" s="4" t="s">
        <v>9</v>
      </c>
      <c r="P5" s="4">
        <v>1264.0979600000001</v>
      </c>
      <c r="Q5" s="4">
        <v>4</v>
      </c>
    </row>
    <row r="6" spans="1:17" s="10" customFormat="1" x14ac:dyDescent="0.2">
      <c r="A6" s="9" t="s">
        <v>9</v>
      </c>
      <c r="B6" s="9">
        <v>7996.6549999999997</v>
      </c>
      <c r="C6" s="9">
        <v>26</v>
      </c>
      <c r="D6" s="9">
        <v>7997.0429999999997</v>
      </c>
      <c r="E6" s="9">
        <v>309166.38</v>
      </c>
      <c r="F6" s="9">
        <v>10.1997324</v>
      </c>
      <c r="G6" s="9">
        <v>8.8211349999999999</v>
      </c>
      <c r="H6" s="10" t="str">
        <f t="shared" ref="H6:H10" si="0">H5</f>
        <v xml:space="preserve"> will require 50 ppm</v>
      </c>
      <c r="N6" s="13"/>
      <c r="O6" s="4" t="s">
        <v>9</v>
      </c>
      <c r="P6" s="4">
        <v>1570.1232600000001</v>
      </c>
      <c r="Q6" s="4">
        <v>5</v>
      </c>
    </row>
    <row r="7" spans="1:17" s="10" customFormat="1" x14ac:dyDescent="0.2">
      <c r="A7" s="9" t="s">
        <v>9</v>
      </c>
      <c r="B7" s="9">
        <v>8302.68</v>
      </c>
      <c r="C7" s="9">
        <v>27</v>
      </c>
      <c r="D7" s="9">
        <v>8303.0740000000005</v>
      </c>
      <c r="E7" s="9">
        <v>88283.96</v>
      </c>
      <c r="F7" s="9">
        <v>10.530837699999999</v>
      </c>
      <c r="G7" s="9">
        <v>2.5189180000000002</v>
      </c>
      <c r="H7" s="10" t="str">
        <f t="shared" si="0"/>
        <v xml:space="preserve"> will require 50 ppm</v>
      </c>
      <c r="N7" s="13"/>
      <c r="O7" s="4" t="s">
        <v>9</v>
      </c>
      <c r="P7" s="4">
        <v>1876.1485600000001</v>
      </c>
      <c r="Q7" s="4">
        <v>6</v>
      </c>
    </row>
    <row r="8" spans="1:17" s="10" customFormat="1" x14ac:dyDescent="0.2">
      <c r="A8" s="9" t="s">
        <v>9</v>
      </c>
      <c r="B8" s="9">
        <v>10138.832</v>
      </c>
      <c r="C8" s="9">
        <v>33</v>
      </c>
      <c r="D8" s="9">
        <v>10138.686</v>
      </c>
      <c r="E8" s="9">
        <v>39796.11</v>
      </c>
      <c r="F8" s="9">
        <v>14.2492003</v>
      </c>
      <c r="G8" s="9">
        <v>1.1354630000000001</v>
      </c>
      <c r="H8" s="10" t="str">
        <f t="shared" si="0"/>
        <v xml:space="preserve"> will require 50 ppm</v>
      </c>
      <c r="N8" s="13"/>
      <c r="O8" s="4" t="s">
        <v>9</v>
      </c>
      <c r="P8" s="4">
        <v>2182.1738599999999</v>
      </c>
      <c r="Q8" s="4">
        <v>7</v>
      </c>
    </row>
    <row r="9" spans="1:17" s="10" customFormat="1" x14ac:dyDescent="0.2">
      <c r="A9" s="9" t="s">
        <v>9</v>
      </c>
      <c r="B9" s="9">
        <v>11974.983</v>
      </c>
      <c r="C9" s="9">
        <v>39</v>
      </c>
      <c r="D9" s="9">
        <v>11974.579</v>
      </c>
      <c r="E9" s="9">
        <v>35555.35</v>
      </c>
      <c r="F9" s="9">
        <v>12.1827951</v>
      </c>
      <c r="G9" s="9">
        <v>1.014465</v>
      </c>
      <c r="H9" s="10" t="str">
        <f t="shared" si="0"/>
        <v xml:space="preserve"> will require 50 ppm</v>
      </c>
      <c r="N9" s="13"/>
      <c r="O9" s="4" t="s">
        <v>9</v>
      </c>
      <c r="P9" s="4">
        <v>2488.1991600000001</v>
      </c>
      <c r="Q9" s="4">
        <v>8</v>
      </c>
    </row>
    <row r="10" spans="1:17" s="10" customFormat="1" x14ac:dyDescent="0.2">
      <c r="A10" s="9" t="s">
        <v>9</v>
      </c>
      <c r="B10" s="9">
        <v>12281.009</v>
      </c>
      <c r="C10" s="9">
        <v>40</v>
      </c>
      <c r="D10" s="9">
        <v>12281.605</v>
      </c>
      <c r="E10" s="9">
        <v>50340.59</v>
      </c>
      <c r="F10" s="9">
        <v>12.300860999999999</v>
      </c>
      <c r="G10" s="9">
        <v>1.436318</v>
      </c>
      <c r="H10" s="10" t="str">
        <f t="shared" si="0"/>
        <v xml:space="preserve"> will require 50 ppm</v>
      </c>
      <c r="N10" s="13"/>
      <c r="O10" s="4" t="s">
        <v>9</v>
      </c>
      <c r="P10" s="4">
        <v>2794.2244599999999</v>
      </c>
      <c r="Q10" s="4">
        <v>9</v>
      </c>
    </row>
    <row r="11" spans="1:17" x14ac:dyDescent="0.2">
      <c r="N11" s="13"/>
      <c r="O11" s="4" t="s">
        <v>9</v>
      </c>
      <c r="P11" s="4">
        <v>3100.2497600000002</v>
      </c>
      <c r="Q11" s="4">
        <v>10</v>
      </c>
    </row>
    <row r="12" spans="1:17" x14ac:dyDescent="0.2">
      <c r="N12" s="13"/>
      <c r="O12" s="4" t="s">
        <v>9</v>
      </c>
      <c r="P12" s="4">
        <v>3406.2750599999999</v>
      </c>
      <c r="Q12" s="4">
        <v>11</v>
      </c>
    </row>
    <row r="13" spans="1:17" x14ac:dyDescent="0.2">
      <c r="N13" s="13"/>
      <c r="O13" s="4" t="s">
        <v>9</v>
      </c>
      <c r="P13" s="4">
        <v>3712.3003600000002</v>
      </c>
      <c r="Q13" s="4">
        <v>12</v>
      </c>
    </row>
    <row r="14" spans="1:17" x14ac:dyDescent="0.2">
      <c r="N14" s="13"/>
      <c r="O14" s="4" t="s">
        <v>9</v>
      </c>
      <c r="P14" s="4">
        <v>4018.32566</v>
      </c>
      <c r="Q14" s="4">
        <v>13</v>
      </c>
    </row>
    <row r="15" spans="1:17" x14ac:dyDescent="0.2">
      <c r="N15" s="13"/>
      <c r="O15" s="4" t="s">
        <v>9</v>
      </c>
      <c r="P15" s="4">
        <v>4324.3509599999998</v>
      </c>
      <c r="Q15" s="4">
        <v>14</v>
      </c>
    </row>
    <row r="16" spans="1:17" x14ac:dyDescent="0.2">
      <c r="N16" s="13"/>
      <c r="O16" s="4" t="s">
        <v>9</v>
      </c>
      <c r="P16" s="4">
        <v>4630.37626</v>
      </c>
      <c r="Q16" s="4">
        <v>15</v>
      </c>
    </row>
    <row r="17" spans="14:17" x14ac:dyDescent="0.2">
      <c r="N17" s="13"/>
      <c r="O17" s="4" t="s">
        <v>9</v>
      </c>
      <c r="P17" s="4">
        <v>4936.4015600000002</v>
      </c>
      <c r="Q17" s="4">
        <v>16</v>
      </c>
    </row>
    <row r="18" spans="14:17" x14ac:dyDescent="0.2">
      <c r="N18" s="13"/>
      <c r="O18" s="4" t="s">
        <v>9</v>
      </c>
      <c r="P18" s="4">
        <v>5242.4268599999996</v>
      </c>
      <c r="Q18" s="4">
        <v>17</v>
      </c>
    </row>
    <row r="19" spans="14:17" x14ac:dyDescent="0.2">
      <c r="N19" s="13"/>
      <c r="O19" s="4" t="s">
        <v>9</v>
      </c>
      <c r="P19" s="4">
        <v>5548.4521599999998</v>
      </c>
      <c r="Q19" s="4">
        <v>18</v>
      </c>
    </row>
    <row r="20" spans="14:17" x14ac:dyDescent="0.2">
      <c r="N20" s="13"/>
      <c r="O20" s="4" t="s">
        <v>9</v>
      </c>
      <c r="P20" s="4">
        <v>5854.4774600000001</v>
      </c>
      <c r="Q20" s="4">
        <v>19</v>
      </c>
    </row>
    <row r="21" spans="14:17" x14ac:dyDescent="0.2">
      <c r="N21" s="13"/>
      <c r="O21" s="4" t="s">
        <v>9</v>
      </c>
      <c r="P21" s="4">
        <v>6160.5027600000003</v>
      </c>
      <c r="Q21" s="4">
        <v>20</v>
      </c>
    </row>
    <row r="22" spans="14:17" x14ac:dyDescent="0.2">
      <c r="N22" s="13"/>
      <c r="O22" s="4" t="s">
        <v>9</v>
      </c>
      <c r="P22" s="4">
        <v>6466.5280599999996</v>
      </c>
      <c r="Q22" s="4">
        <v>21</v>
      </c>
    </row>
    <row r="23" spans="14:17" x14ac:dyDescent="0.2">
      <c r="N23" s="13"/>
      <c r="O23" s="4" t="s">
        <v>9</v>
      </c>
      <c r="P23" s="4">
        <v>6772.5533599999999</v>
      </c>
      <c r="Q23" s="4">
        <v>22</v>
      </c>
    </row>
    <row r="24" spans="14:17" x14ac:dyDescent="0.2">
      <c r="N24" s="13"/>
      <c r="O24" s="4" t="s">
        <v>9</v>
      </c>
      <c r="P24" s="4">
        <v>7078.5786600000001</v>
      </c>
      <c r="Q24" s="4">
        <v>23</v>
      </c>
    </row>
    <row r="25" spans="14:17" x14ac:dyDescent="0.2">
      <c r="N25" s="13"/>
      <c r="O25" s="4" t="s">
        <v>9</v>
      </c>
      <c r="P25" s="4">
        <v>7384.6039600000004</v>
      </c>
      <c r="Q25" s="4">
        <v>24</v>
      </c>
    </row>
    <row r="26" spans="14:17" x14ac:dyDescent="0.2">
      <c r="N26" s="13"/>
      <c r="O26" s="4" t="s">
        <v>9</v>
      </c>
      <c r="P26" s="4">
        <v>7690.6292599999997</v>
      </c>
      <c r="Q26" s="4">
        <v>25</v>
      </c>
    </row>
    <row r="27" spans="14:17" x14ac:dyDescent="0.2">
      <c r="N27" s="13"/>
      <c r="O27" s="4" t="s">
        <v>9</v>
      </c>
      <c r="P27" s="4">
        <v>7996.6545599999999</v>
      </c>
      <c r="Q27" s="4">
        <v>26</v>
      </c>
    </row>
    <row r="28" spans="14:17" x14ac:dyDescent="0.2">
      <c r="N28" s="13"/>
      <c r="O28" s="4" t="s">
        <v>9</v>
      </c>
      <c r="P28" s="4">
        <v>8302.6798600000002</v>
      </c>
      <c r="Q28" s="4">
        <v>27</v>
      </c>
    </row>
    <row r="29" spans="14:17" x14ac:dyDescent="0.2">
      <c r="N29" s="13"/>
      <c r="O29" s="4" t="s">
        <v>9</v>
      </c>
      <c r="P29" s="4">
        <v>8608.7051599999995</v>
      </c>
      <c r="Q29" s="4">
        <v>28</v>
      </c>
    </row>
    <row r="30" spans="14:17" x14ac:dyDescent="0.2">
      <c r="N30" s="13"/>
      <c r="O30" s="4" t="s">
        <v>9</v>
      </c>
      <c r="P30" s="4">
        <v>8914.7304600000007</v>
      </c>
      <c r="Q30" s="4">
        <v>29</v>
      </c>
    </row>
    <row r="31" spans="14:17" x14ac:dyDescent="0.2">
      <c r="N31" s="13"/>
      <c r="O31" s="4" t="s">
        <v>9</v>
      </c>
      <c r="P31" s="4">
        <v>9220.75576</v>
      </c>
      <c r="Q31" s="4">
        <v>30</v>
      </c>
    </row>
    <row r="32" spans="14:17" x14ac:dyDescent="0.2">
      <c r="N32" s="13"/>
      <c r="O32" s="4" t="s">
        <v>9</v>
      </c>
      <c r="P32" s="4">
        <v>9526.7810599999993</v>
      </c>
      <c r="Q32" s="4">
        <v>31</v>
      </c>
    </row>
    <row r="33" spans="14:17" x14ac:dyDescent="0.2">
      <c r="N33" s="13"/>
      <c r="O33" s="4" t="s">
        <v>9</v>
      </c>
      <c r="P33" s="4">
        <v>9832.8063600000005</v>
      </c>
      <c r="Q33" s="4">
        <v>32</v>
      </c>
    </row>
    <row r="34" spans="14:17" x14ac:dyDescent="0.2">
      <c r="N34" s="13"/>
      <c r="O34" s="4" t="s">
        <v>9</v>
      </c>
      <c r="P34" s="4">
        <v>10138.83166</v>
      </c>
      <c r="Q34" s="4">
        <v>33</v>
      </c>
    </row>
    <row r="35" spans="14:17" x14ac:dyDescent="0.2">
      <c r="N35" s="13"/>
      <c r="O35" s="4" t="s">
        <v>9</v>
      </c>
      <c r="P35" s="4">
        <v>10444.856959999999</v>
      </c>
      <c r="Q35" s="4">
        <v>34</v>
      </c>
    </row>
    <row r="36" spans="14:17" x14ac:dyDescent="0.2">
      <c r="N36" s="13"/>
      <c r="O36" s="4" t="s">
        <v>9</v>
      </c>
      <c r="P36" s="4">
        <v>10750.88226</v>
      </c>
      <c r="Q36" s="4">
        <v>35</v>
      </c>
    </row>
    <row r="37" spans="14:17" x14ac:dyDescent="0.2">
      <c r="N37" s="13"/>
      <c r="O37" s="4" t="s">
        <v>9</v>
      </c>
      <c r="P37" s="4">
        <v>11056.90756</v>
      </c>
      <c r="Q37" s="4">
        <v>36</v>
      </c>
    </row>
    <row r="38" spans="14:17" x14ac:dyDescent="0.2">
      <c r="N38" s="13"/>
      <c r="O38" s="4" t="s">
        <v>9</v>
      </c>
      <c r="P38" s="4">
        <v>11362.932860000001</v>
      </c>
      <c r="Q38" s="4">
        <v>37</v>
      </c>
    </row>
    <row r="39" spans="14:17" x14ac:dyDescent="0.2">
      <c r="N39" s="13"/>
      <c r="O39" s="4" t="s">
        <v>9</v>
      </c>
      <c r="P39" s="4">
        <v>11668.95816</v>
      </c>
      <c r="Q39" s="4">
        <v>38</v>
      </c>
    </row>
    <row r="40" spans="14:17" x14ac:dyDescent="0.2">
      <c r="N40" s="13"/>
      <c r="O40" s="4" t="s">
        <v>9</v>
      </c>
      <c r="P40" s="4">
        <v>11974.983459999999</v>
      </c>
      <c r="Q40" s="4">
        <v>39</v>
      </c>
    </row>
    <row r="41" spans="14:17" x14ac:dyDescent="0.2">
      <c r="N41" s="13"/>
      <c r="O41" s="4" t="s">
        <v>9</v>
      </c>
      <c r="P41" s="4">
        <v>12281.008760000001</v>
      </c>
      <c r="Q41" s="4">
        <v>40</v>
      </c>
    </row>
    <row r="42" spans="14:17" x14ac:dyDescent="0.2">
      <c r="N42" s="13"/>
      <c r="O42" s="4" t="s">
        <v>9</v>
      </c>
      <c r="P42" s="4">
        <v>12587.03406</v>
      </c>
      <c r="Q42" s="4">
        <v>41</v>
      </c>
    </row>
    <row r="43" spans="14:17" x14ac:dyDescent="0.2">
      <c r="N43" s="13"/>
      <c r="O43" s="4" t="s">
        <v>9</v>
      </c>
      <c r="P43" s="4">
        <v>12893.059359999999</v>
      </c>
      <c r="Q43" s="4">
        <v>42</v>
      </c>
    </row>
    <row r="44" spans="14:17" x14ac:dyDescent="0.2">
      <c r="N44" s="13"/>
      <c r="O44" s="4" t="s">
        <v>9</v>
      </c>
      <c r="P44" s="4">
        <v>13199.08466</v>
      </c>
      <c r="Q44" s="4">
        <v>43</v>
      </c>
    </row>
    <row r="45" spans="14:17" x14ac:dyDescent="0.2">
      <c r="N45" s="13"/>
      <c r="O45" s="4" t="s">
        <v>9</v>
      </c>
      <c r="P45" s="4">
        <v>13505.10996</v>
      </c>
      <c r="Q45" s="4">
        <v>44</v>
      </c>
    </row>
    <row r="46" spans="14:17" x14ac:dyDescent="0.2">
      <c r="N46" s="13"/>
      <c r="O46" s="4" t="s">
        <v>9</v>
      </c>
      <c r="P46" s="4">
        <v>13811.135259999999</v>
      </c>
      <c r="Q46" s="4">
        <v>45</v>
      </c>
    </row>
    <row r="47" spans="14:17" x14ac:dyDescent="0.2">
      <c r="N47" s="13"/>
      <c r="O47" s="4" t="s">
        <v>9</v>
      </c>
      <c r="P47" s="4">
        <v>14117.16056</v>
      </c>
      <c r="Q47" s="4">
        <v>46</v>
      </c>
    </row>
    <row r="48" spans="14:17" x14ac:dyDescent="0.2">
      <c r="N48" s="13"/>
      <c r="O48" s="4" t="s">
        <v>9</v>
      </c>
      <c r="P48" s="4">
        <v>14423.18586</v>
      </c>
      <c r="Q48" s="4">
        <v>47</v>
      </c>
    </row>
    <row r="49" spans="14:17" x14ac:dyDescent="0.2">
      <c r="N49" s="13"/>
      <c r="O49" s="4" t="s">
        <v>9</v>
      </c>
      <c r="P49" s="4">
        <v>14729.211160000001</v>
      </c>
      <c r="Q49" s="4">
        <v>48</v>
      </c>
    </row>
    <row r="50" spans="14:17" x14ac:dyDescent="0.2">
      <c r="N50" s="13"/>
      <c r="O50" s="4" t="s">
        <v>9</v>
      </c>
      <c r="P50" s="4">
        <v>15035.23646</v>
      </c>
      <c r="Q50" s="4">
        <v>49</v>
      </c>
    </row>
    <row r="51" spans="14:17" x14ac:dyDescent="0.2">
      <c r="N51" s="13"/>
      <c r="O51" s="4" t="s">
        <v>9</v>
      </c>
      <c r="P51" s="4">
        <v>15341.261759999999</v>
      </c>
      <c r="Q51" s="4">
        <v>50</v>
      </c>
    </row>
    <row r="52" spans="14:17" x14ac:dyDescent="0.2">
      <c r="N52" s="13"/>
      <c r="O52" s="4" t="s">
        <v>9</v>
      </c>
      <c r="P52" s="4">
        <v>15647.287060000001</v>
      </c>
      <c r="Q52" s="4">
        <v>51</v>
      </c>
    </row>
    <row r="53" spans="14:17" x14ac:dyDescent="0.2">
      <c r="N53" s="13"/>
      <c r="O53" s="4" t="s">
        <v>9</v>
      </c>
      <c r="P53" s="4">
        <v>15953.31236</v>
      </c>
      <c r="Q53" s="4">
        <v>52</v>
      </c>
    </row>
    <row r="54" spans="14:17" x14ac:dyDescent="0.2">
      <c r="N54" s="13"/>
      <c r="O54" s="4" t="s">
        <v>9</v>
      </c>
      <c r="P54" s="4">
        <v>16259.337659999999</v>
      </c>
      <c r="Q54" s="4">
        <v>53</v>
      </c>
    </row>
    <row r="55" spans="14:17" x14ac:dyDescent="0.2">
      <c r="N55" s="13"/>
      <c r="O55" s="4" t="s">
        <v>9</v>
      </c>
      <c r="P55" s="4">
        <v>16565.362959999999</v>
      </c>
      <c r="Q55" s="4">
        <v>54</v>
      </c>
    </row>
    <row r="56" spans="14:17" x14ac:dyDescent="0.2">
      <c r="N56" s="13"/>
      <c r="O56" s="4" t="s">
        <v>9</v>
      </c>
      <c r="P56" s="4">
        <v>16871.38826</v>
      </c>
      <c r="Q56" s="4">
        <v>55</v>
      </c>
    </row>
    <row r="57" spans="14:17" x14ac:dyDescent="0.2">
      <c r="N57" s="13"/>
      <c r="O57" s="4" t="s">
        <v>9</v>
      </c>
      <c r="P57" s="4">
        <v>17177.413560000001</v>
      </c>
      <c r="Q57" s="4">
        <v>56</v>
      </c>
    </row>
    <row r="58" spans="14:17" x14ac:dyDescent="0.2">
      <c r="N58" s="13"/>
      <c r="O58" s="4" t="s">
        <v>9</v>
      </c>
      <c r="P58" s="4">
        <v>17483.438859999998</v>
      </c>
      <c r="Q58" s="4">
        <v>57</v>
      </c>
    </row>
    <row r="59" spans="14:17" x14ac:dyDescent="0.2">
      <c r="N59" s="13"/>
      <c r="O59" s="4" t="s">
        <v>9</v>
      </c>
      <c r="P59" s="4">
        <v>17789.46416</v>
      </c>
      <c r="Q59" s="4">
        <v>58</v>
      </c>
    </row>
    <row r="60" spans="14:17" x14ac:dyDescent="0.2">
      <c r="N60" s="13"/>
      <c r="O60" s="4" t="s">
        <v>9</v>
      </c>
      <c r="P60" s="4">
        <v>18095.489460000001</v>
      </c>
      <c r="Q60" s="4">
        <v>59</v>
      </c>
    </row>
    <row r="61" spans="14:17" x14ac:dyDescent="0.2">
      <c r="N61" s="13"/>
      <c r="O61" s="4" t="s">
        <v>9</v>
      </c>
      <c r="P61" s="4">
        <v>18401.514759999998</v>
      </c>
      <c r="Q61" s="4">
        <v>60</v>
      </c>
    </row>
    <row r="62" spans="14:17" x14ac:dyDescent="0.2">
      <c r="N62" s="13"/>
      <c r="O62" s="4" t="s">
        <v>9</v>
      </c>
      <c r="P62" s="4">
        <v>18707.540059999999</v>
      </c>
      <c r="Q62" s="4">
        <v>61</v>
      </c>
    </row>
    <row r="63" spans="14:17" x14ac:dyDescent="0.2">
      <c r="N63" s="13"/>
      <c r="O63" s="4" t="s">
        <v>9</v>
      </c>
      <c r="P63" s="4">
        <v>19013.565360000001</v>
      </c>
      <c r="Q63" s="4">
        <v>62</v>
      </c>
    </row>
    <row r="64" spans="14:17" x14ac:dyDescent="0.2">
      <c r="N64" s="13"/>
      <c r="O64" s="4" t="s">
        <v>9</v>
      </c>
      <c r="P64" s="4">
        <v>19319.590660000002</v>
      </c>
      <c r="Q64" s="4">
        <v>63</v>
      </c>
    </row>
    <row r="65" spans="14:17" x14ac:dyDescent="0.2">
      <c r="N65" s="13"/>
      <c r="O65" s="4" t="s">
        <v>9</v>
      </c>
      <c r="P65" s="4">
        <v>19625.615959999999</v>
      </c>
      <c r="Q65" s="4">
        <v>64</v>
      </c>
    </row>
    <row r="66" spans="14:17" x14ac:dyDescent="0.2">
      <c r="N66" s="13"/>
      <c r="O66" s="4" t="s">
        <v>9</v>
      </c>
      <c r="P66" s="4">
        <v>19931.64126</v>
      </c>
      <c r="Q66" s="4">
        <v>65</v>
      </c>
    </row>
    <row r="67" spans="14:17" x14ac:dyDescent="0.2">
      <c r="N67" s="13"/>
      <c r="O67" s="4" t="s">
        <v>9</v>
      </c>
      <c r="P67" s="4">
        <v>20237.666560000001</v>
      </c>
      <c r="Q67" s="4">
        <v>66</v>
      </c>
    </row>
    <row r="68" spans="14:17" x14ac:dyDescent="0.2">
      <c r="N68" s="13"/>
      <c r="O68" s="4" t="s">
        <v>9</v>
      </c>
      <c r="P68" s="4">
        <v>20543.691859999999</v>
      </c>
      <c r="Q68" s="4">
        <v>67</v>
      </c>
    </row>
    <row r="69" spans="14:17" x14ac:dyDescent="0.2">
      <c r="N69" s="13"/>
      <c r="O69" s="4" t="s">
        <v>9</v>
      </c>
      <c r="P69" s="4">
        <v>20849.71716</v>
      </c>
      <c r="Q69" s="4">
        <v>68</v>
      </c>
    </row>
    <row r="70" spans="14:17" x14ac:dyDescent="0.2">
      <c r="N70" s="13"/>
      <c r="O70" s="4" t="s">
        <v>9</v>
      </c>
      <c r="P70" s="4">
        <v>21155.742460000001</v>
      </c>
      <c r="Q70" s="4">
        <v>69</v>
      </c>
    </row>
    <row r="71" spans="14:17" x14ac:dyDescent="0.2">
      <c r="N71" s="13"/>
      <c r="O71" s="4" t="s">
        <v>9</v>
      </c>
      <c r="P71" s="4">
        <v>21461.767759999999</v>
      </c>
      <c r="Q71" s="4">
        <v>70</v>
      </c>
    </row>
    <row r="72" spans="14:17" x14ac:dyDescent="0.2">
      <c r="N72" s="13"/>
      <c r="O72" s="4" t="s">
        <v>9</v>
      </c>
      <c r="P72" s="4">
        <v>21767.79306</v>
      </c>
      <c r="Q72" s="4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1AD5-E8D8-CF48-8D92-BD70976829D8}">
  <dimension ref="A1:H177"/>
  <sheetViews>
    <sheetView tabSelected="1" workbookViewId="0">
      <selection activeCell="H1" sqref="H1:H1048576"/>
    </sheetView>
  </sheetViews>
  <sheetFormatPr baseColWidth="10" defaultRowHeight="15" x14ac:dyDescent="0.2"/>
  <cols>
    <col min="1" max="1" width="33.83203125" bestFit="1" customWidth="1"/>
    <col min="2" max="2" width="14" bestFit="1" customWidth="1"/>
    <col min="3" max="3" width="16.5" bestFit="1" customWidth="1"/>
    <col min="4" max="4" width="12.83203125" bestFit="1" customWidth="1"/>
    <col min="5" max="5" width="11.6640625" bestFit="1" customWidth="1"/>
    <col min="6" max="6" width="16" bestFit="1" customWidth="1"/>
  </cols>
  <sheetData>
    <row r="1" spans="1:8" x14ac:dyDescent="0.2">
      <c r="A1" s="20" t="s">
        <v>447</v>
      </c>
      <c r="B1" s="20" t="s">
        <v>239</v>
      </c>
      <c r="C1" s="20" t="s">
        <v>1</v>
      </c>
      <c r="D1" s="20" t="s">
        <v>2</v>
      </c>
      <c r="E1" s="20" t="s">
        <v>3</v>
      </c>
      <c r="F1" s="20" t="s">
        <v>241</v>
      </c>
    </row>
    <row r="2" spans="1:8" x14ac:dyDescent="0.2">
      <c r="A2" s="4" t="s">
        <v>271</v>
      </c>
      <c r="B2" s="4">
        <v>6444.5460000000003</v>
      </c>
      <c r="C2" s="4">
        <v>6444.8670000000002</v>
      </c>
      <c r="D2" s="4">
        <v>1069060.77</v>
      </c>
      <c r="E2" s="4">
        <v>8.9984830000000002</v>
      </c>
      <c r="F2" s="4">
        <v>30.50244</v>
      </c>
      <c r="H2" t="s">
        <v>251</v>
      </c>
    </row>
    <row r="3" spans="1:8" x14ac:dyDescent="0.2">
      <c r="A3" s="4" t="s">
        <v>272</v>
      </c>
      <c r="B3" s="4">
        <v>6467.5739999999996</v>
      </c>
      <c r="C3" s="4">
        <v>6467.8810000000003</v>
      </c>
      <c r="D3" s="4">
        <v>949710.81</v>
      </c>
      <c r="E3" s="4">
        <v>9.2069690000000008</v>
      </c>
      <c r="F3" s="4">
        <v>27.097148000000001</v>
      </c>
    </row>
    <row r="4" spans="1:8" x14ac:dyDescent="0.2">
      <c r="A4" s="4" t="s">
        <v>273</v>
      </c>
      <c r="B4" s="4">
        <v>6772.6149999999998</v>
      </c>
      <c r="C4" s="4">
        <v>6772.9170000000004</v>
      </c>
      <c r="D4" s="4">
        <v>707204.17</v>
      </c>
      <c r="E4" s="4">
        <v>9.3882359999999991</v>
      </c>
      <c r="F4" s="4">
        <v>20.177948000000001</v>
      </c>
    </row>
    <row r="5" spans="1:8" x14ac:dyDescent="0.2">
      <c r="A5" s="4" t="s">
        <v>274</v>
      </c>
      <c r="B5" s="4">
        <v>6772.6149999999998</v>
      </c>
      <c r="C5" s="4">
        <v>6772.9170000000004</v>
      </c>
      <c r="D5" s="4">
        <v>707204.17</v>
      </c>
      <c r="E5" s="4">
        <v>9.3882359999999991</v>
      </c>
      <c r="F5" s="4">
        <v>20.177948000000001</v>
      </c>
    </row>
    <row r="6" spans="1:8" x14ac:dyDescent="0.2">
      <c r="A6" s="4" t="s">
        <v>275</v>
      </c>
      <c r="B6" s="4">
        <v>7361.6379999999999</v>
      </c>
      <c r="C6" s="4">
        <v>7361.9660000000003</v>
      </c>
      <c r="D6" s="4">
        <v>699774.11</v>
      </c>
      <c r="E6" s="4">
        <v>9.6329750000000001</v>
      </c>
      <c r="F6" s="4">
        <v>19.965954</v>
      </c>
    </row>
    <row r="7" spans="1:8" x14ac:dyDescent="0.2">
      <c r="A7" s="4" t="s">
        <v>276</v>
      </c>
      <c r="B7" s="4">
        <v>7361.6379999999999</v>
      </c>
      <c r="C7" s="4">
        <v>7361.9660000000003</v>
      </c>
      <c r="D7" s="4">
        <v>699774.11</v>
      </c>
      <c r="E7" s="4">
        <v>9.6329750000000001</v>
      </c>
      <c r="F7" s="4">
        <v>19.965954</v>
      </c>
    </row>
    <row r="8" spans="1:8" x14ac:dyDescent="0.2">
      <c r="A8" s="4" t="s">
        <v>277</v>
      </c>
      <c r="B8" s="4">
        <v>7361.6379999999999</v>
      </c>
      <c r="C8" s="4">
        <v>7361.9660000000003</v>
      </c>
      <c r="D8" s="4">
        <v>699774.11</v>
      </c>
      <c r="E8" s="4">
        <v>9.6329750000000001</v>
      </c>
      <c r="F8" s="4">
        <v>19.965954</v>
      </c>
    </row>
    <row r="9" spans="1:8" x14ac:dyDescent="0.2">
      <c r="A9" s="4" t="s">
        <v>278</v>
      </c>
      <c r="B9" s="4">
        <v>7361.6379999999999</v>
      </c>
      <c r="C9" s="4">
        <v>7361.9660000000003</v>
      </c>
      <c r="D9" s="4">
        <v>699774.11</v>
      </c>
      <c r="E9" s="4">
        <v>9.6329750000000001</v>
      </c>
      <c r="F9" s="4">
        <v>19.965954</v>
      </c>
    </row>
    <row r="10" spans="1:8" x14ac:dyDescent="0.2">
      <c r="A10" s="4" t="s">
        <v>279</v>
      </c>
      <c r="B10" s="4">
        <v>7078.64</v>
      </c>
      <c r="C10" s="4">
        <v>7078.9520000000002</v>
      </c>
      <c r="D10" s="4">
        <v>642192.98</v>
      </c>
      <c r="E10" s="4">
        <v>9.6329750000000001</v>
      </c>
      <c r="F10" s="4">
        <v>18.323049000000001</v>
      </c>
    </row>
    <row r="11" spans="1:8" x14ac:dyDescent="0.2">
      <c r="A11" s="4" t="s">
        <v>280</v>
      </c>
      <c r="B11" s="4">
        <v>7078.64</v>
      </c>
      <c r="C11" s="4">
        <v>7078.9520000000002</v>
      </c>
      <c r="D11" s="4">
        <v>642192.98</v>
      </c>
      <c r="E11" s="4">
        <v>9.6329750000000001</v>
      </c>
      <c r="F11" s="4">
        <v>18.323049000000001</v>
      </c>
    </row>
    <row r="12" spans="1:8" x14ac:dyDescent="0.2">
      <c r="A12" s="4" t="s">
        <v>281</v>
      </c>
      <c r="B12" s="4">
        <v>7078.64</v>
      </c>
      <c r="C12" s="4">
        <v>7078.9520000000002</v>
      </c>
      <c r="D12" s="4">
        <v>642192.98</v>
      </c>
      <c r="E12" s="4">
        <v>9.6329750000000001</v>
      </c>
      <c r="F12" s="4">
        <v>18.323049000000001</v>
      </c>
    </row>
    <row r="13" spans="1:8" x14ac:dyDescent="0.2">
      <c r="A13" s="4" t="s">
        <v>282</v>
      </c>
      <c r="B13" s="4">
        <v>7078.64</v>
      </c>
      <c r="C13" s="4">
        <v>7078.9520000000002</v>
      </c>
      <c r="D13" s="4">
        <v>642192.98</v>
      </c>
      <c r="E13" s="4">
        <v>9.6329750000000001</v>
      </c>
      <c r="F13" s="4">
        <v>18.323049000000001</v>
      </c>
    </row>
    <row r="14" spans="1:8" x14ac:dyDescent="0.2">
      <c r="A14" s="4" t="s">
        <v>283</v>
      </c>
      <c r="B14" s="4">
        <v>7078.64</v>
      </c>
      <c r="C14" s="4">
        <v>7078.9520000000002</v>
      </c>
      <c r="D14" s="4">
        <v>642192.98</v>
      </c>
      <c r="E14" s="4">
        <v>9.6329750000000001</v>
      </c>
      <c r="F14" s="4">
        <v>18.323049000000001</v>
      </c>
    </row>
    <row r="15" spans="1:8" x14ac:dyDescent="0.2">
      <c r="A15" s="4" t="s">
        <v>284</v>
      </c>
      <c r="B15" s="4">
        <v>7078.64</v>
      </c>
      <c r="C15" s="4">
        <v>7078.9520000000002</v>
      </c>
      <c r="D15" s="4">
        <v>642192.98</v>
      </c>
      <c r="E15" s="4">
        <v>9.6329750000000001</v>
      </c>
      <c r="F15" s="4">
        <v>18.323049000000001</v>
      </c>
    </row>
    <row r="16" spans="1:8" x14ac:dyDescent="0.2">
      <c r="A16" s="4" t="s">
        <v>285</v>
      </c>
      <c r="B16" s="4">
        <v>7056.5969999999998</v>
      </c>
      <c r="C16" s="4">
        <v>7056.9170000000004</v>
      </c>
      <c r="D16" s="4">
        <v>568101.68999999994</v>
      </c>
      <c r="E16" s="4">
        <v>9.5423349999999996</v>
      </c>
      <c r="F16" s="4">
        <v>16.209077000000001</v>
      </c>
    </row>
    <row r="17" spans="1:6" x14ac:dyDescent="0.2">
      <c r="A17" s="4" t="s">
        <v>286</v>
      </c>
      <c r="B17" s="4">
        <v>6750.5720000000001</v>
      </c>
      <c r="C17" s="4">
        <v>6750.893</v>
      </c>
      <c r="D17" s="4">
        <v>510126.47</v>
      </c>
      <c r="E17" s="4">
        <v>9.2432259999999999</v>
      </c>
      <c r="F17" s="4">
        <v>14.554928</v>
      </c>
    </row>
    <row r="18" spans="1:6" x14ac:dyDescent="0.2">
      <c r="A18" s="4" t="s">
        <v>287</v>
      </c>
      <c r="B18" s="4">
        <v>7463.6940000000004</v>
      </c>
      <c r="C18" s="4">
        <v>7464.0029999999997</v>
      </c>
      <c r="D18" s="4">
        <v>462812.85</v>
      </c>
      <c r="E18" s="4">
        <v>9.8415160000000004</v>
      </c>
      <c r="F18" s="4">
        <v>13.204976</v>
      </c>
    </row>
    <row r="19" spans="1:6" x14ac:dyDescent="0.2">
      <c r="A19" s="4" t="s">
        <v>288</v>
      </c>
      <c r="B19" s="4">
        <v>7463.6940000000004</v>
      </c>
      <c r="C19" s="4">
        <v>7464.0029999999997</v>
      </c>
      <c r="D19" s="4">
        <v>462812.85</v>
      </c>
      <c r="E19" s="4">
        <v>9.8415160000000004</v>
      </c>
      <c r="F19" s="4">
        <v>13.204976</v>
      </c>
    </row>
    <row r="20" spans="1:6" x14ac:dyDescent="0.2">
      <c r="A20" s="4" t="s">
        <v>289</v>
      </c>
      <c r="B20" s="4">
        <v>7463.6940000000004</v>
      </c>
      <c r="C20" s="4">
        <v>7464.0029999999997</v>
      </c>
      <c r="D20" s="4">
        <v>462812.85</v>
      </c>
      <c r="E20" s="4">
        <v>9.8415160000000004</v>
      </c>
      <c r="F20" s="4">
        <v>13.204976</v>
      </c>
    </row>
    <row r="21" spans="1:6" x14ac:dyDescent="0.2">
      <c r="A21" s="4" t="s">
        <v>290</v>
      </c>
      <c r="B21" s="4">
        <v>7463.6940000000004</v>
      </c>
      <c r="C21" s="4">
        <v>7464.0029999999997</v>
      </c>
      <c r="D21" s="4">
        <v>462812.85</v>
      </c>
      <c r="E21" s="4">
        <v>9.8415160000000004</v>
      </c>
      <c r="F21" s="4">
        <v>13.204976</v>
      </c>
    </row>
    <row r="22" spans="1:6" x14ac:dyDescent="0.2">
      <c r="A22" s="4" t="s">
        <v>291</v>
      </c>
      <c r="B22" s="4">
        <v>7463.6940000000004</v>
      </c>
      <c r="C22" s="4">
        <v>7464.0029999999997</v>
      </c>
      <c r="D22" s="4">
        <v>462812.85</v>
      </c>
      <c r="E22" s="4">
        <v>9.8415160000000004</v>
      </c>
      <c r="F22" s="4">
        <v>13.204976</v>
      </c>
    </row>
    <row r="23" spans="1:6" x14ac:dyDescent="0.2">
      <c r="A23" s="4" t="s">
        <v>292</v>
      </c>
      <c r="B23" s="4">
        <v>7463.6940000000004</v>
      </c>
      <c r="C23" s="4">
        <v>7464.0029999999997</v>
      </c>
      <c r="D23" s="4">
        <v>462812.85</v>
      </c>
      <c r="E23" s="4">
        <v>9.8415160000000004</v>
      </c>
      <c r="F23" s="4">
        <v>13.204976</v>
      </c>
    </row>
    <row r="24" spans="1:6" x14ac:dyDescent="0.2">
      <c r="A24" s="4" t="s">
        <v>293</v>
      </c>
      <c r="B24" s="4">
        <v>7463.6940000000004</v>
      </c>
      <c r="C24" s="4">
        <v>7464.0029999999997</v>
      </c>
      <c r="D24" s="4">
        <v>462812.85</v>
      </c>
      <c r="E24" s="4">
        <v>9.8415160000000004</v>
      </c>
      <c r="F24" s="4">
        <v>13.204976</v>
      </c>
    </row>
    <row r="25" spans="1:6" x14ac:dyDescent="0.2">
      <c r="A25" s="4" t="s">
        <v>294</v>
      </c>
      <c r="B25" s="4">
        <v>7463.6940000000004</v>
      </c>
      <c r="C25" s="4">
        <v>7464.0029999999997</v>
      </c>
      <c r="D25" s="4">
        <v>462812.85</v>
      </c>
      <c r="E25" s="4">
        <v>9.8415160000000004</v>
      </c>
      <c r="F25" s="4">
        <v>13.204976</v>
      </c>
    </row>
    <row r="26" spans="1:6" x14ac:dyDescent="0.2">
      <c r="A26" s="4" t="s">
        <v>295</v>
      </c>
      <c r="B26" s="4">
        <v>7463.6940000000004</v>
      </c>
      <c r="C26" s="4">
        <v>7464.0029999999997</v>
      </c>
      <c r="D26" s="4">
        <v>462812.85</v>
      </c>
      <c r="E26" s="4">
        <v>9.8415160000000004</v>
      </c>
      <c r="F26" s="4">
        <v>13.204976</v>
      </c>
    </row>
    <row r="27" spans="1:6" x14ac:dyDescent="0.2">
      <c r="A27" s="4" t="s">
        <v>296</v>
      </c>
      <c r="B27" s="4">
        <v>7463.6940000000004</v>
      </c>
      <c r="C27" s="4">
        <v>7464.0029999999997</v>
      </c>
      <c r="D27" s="4">
        <v>462812.85</v>
      </c>
      <c r="E27" s="4">
        <v>9.8415160000000004</v>
      </c>
      <c r="F27" s="4">
        <v>13.204976</v>
      </c>
    </row>
    <row r="28" spans="1:6" x14ac:dyDescent="0.2">
      <c r="A28" s="4" t="s">
        <v>297</v>
      </c>
      <c r="B28" s="4">
        <v>7463.6940000000004</v>
      </c>
      <c r="C28" s="4">
        <v>7464.0029999999997</v>
      </c>
      <c r="D28" s="4">
        <v>462812.85</v>
      </c>
      <c r="E28" s="4">
        <v>9.8415160000000004</v>
      </c>
      <c r="F28" s="4">
        <v>13.204976</v>
      </c>
    </row>
    <row r="29" spans="1:6" x14ac:dyDescent="0.2">
      <c r="A29" s="4" t="s">
        <v>298</v>
      </c>
      <c r="B29" s="4">
        <v>7463.6940000000004</v>
      </c>
      <c r="C29" s="4">
        <v>7464.0029999999997</v>
      </c>
      <c r="D29" s="4">
        <v>462812.85</v>
      </c>
      <c r="E29" s="4">
        <v>9.8415160000000004</v>
      </c>
      <c r="F29" s="4">
        <v>13.204976</v>
      </c>
    </row>
    <row r="30" spans="1:6" x14ac:dyDescent="0.2">
      <c r="A30" s="4" t="s">
        <v>299</v>
      </c>
      <c r="B30" s="4">
        <v>7407.6930000000002</v>
      </c>
      <c r="C30" s="4">
        <v>7408.0060000000003</v>
      </c>
      <c r="D30" s="4">
        <v>462058.89</v>
      </c>
      <c r="E30" s="4">
        <v>10.077289</v>
      </c>
      <c r="F30" s="4">
        <v>13.183464000000001</v>
      </c>
    </row>
    <row r="31" spans="1:6" x14ac:dyDescent="0.2">
      <c r="A31" s="4" t="s">
        <v>300</v>
      </c>
      <c r="B31" s="4">
        <v>7407.6930000000002</v>
      </c>
      <c r="C31" s="4">
        <v>7408.0060000000003</v>
      </c>
      <c r="D31" s="4">
        <v>462058.89</v>
      </c>
      <c r="E31" s="4">
        <v>10.077289</v>
      </c>
      <c r="F31" s="4">
        <v>13.183464000000001</v>
      </c>
    </row>
    <row r="32" spans="1:6" x14ac:dyDescent="0.2">
      <c r="A32" s="4" t="s">
        <v>301</v>
      </c>
      <c r="B32" s="4">
        <v>7407.6930000000002</v>
      </c>
      <c r="C32" s="4">
        <v>7408.0060000000003</v>
      </c>
      <c r="D32" s="4">
        <v>462058.89</v>
      </c>
      <c r="E32" s="4">
        <v>10.077289</v>
      </c>
      <c r="F32" s="4">
        <v>13.183464000000001</v>
      </c>
    </row>
    <row r="33" spans="1:6" x14ac:dyDescent="0.2">
      <c r="A33" s="4" t="s">
        <v>302</v>
      </c>
      <c r="B33" s="4">
        <v>7407.6930000000002</v>
      </c>
      <c r="C33" s="4">
        <v>7408.0060000000003</v>
      </c>
      <c r="D33" s="4">
        <v>462058.89</v>
      </c>
      <c r="E33" s="4">
        <v>10.077289</v>
      </c>
      <c r="F33" s="4">
        <v>13.183464000000001</v>
      </c>
    </row>
    <row r="34" spans="1:6" x14ac:dyDescent="0.2">
      <c r="A34" s="4" t="s">
        <v>303</v>
      </c>
      <c r="B34" s="4">
        <v>7407.6930000000002</v>
      </c>
      <c r="C34" s="4">
        <v>7408.0060000000003</v>
      </c>
      <c r="D34" s="4">
        <v>462058.89</v>
      </c>
      <c r="E34" s="4">
        <v>10.077289</v>
      </c>
      <c r="F34" s="4">
        <v>13.183464000000001</v>
      </c>
    </row>
    <row r="35" spans="1:6" x14ac:dyDescent="0.2">
      <c r="A35" s="4" t="s">
        <v>304</v>
      </c>
      <c r="B35" s="4">
        <v>7407.6930000000002</v>
      </c>
      <c r="C35" s="4">
        <v>7408.0060000000003</v>
      </c>
      <c r="D35" s="4">
        <v>462058.89</v>
      </c>
      <c r="E35" s="4">
        <v>10.077289</v>
      </c>
      <c r="F35" s="4">
        <v>13.183464000000001</v>
      </c>
    </row>
    <row r="36" spans="1:6" x14ac:dyDescent="0.2">
      <c r="A36" s="4" t="s">
        <v>305</v>
      </c>
      <c r="B36" s="4">
        <v>7407.6930000000002</v>
      </c>
      <c r="C36" s="4">
        <v>7408.0060000000003</v>
      </c>
      <c r="D36" s="4">
        <v>462058.89</v>
      </c>
      <c r="E36" s="4">
        <v>10.077289</v>
      </c>
      <c r="F36" s="4">
        <v>13.183464000000001</v>
      </c>
    </row>
    <row r="37" spans="1:6" x14ac:dyDescent="0.2">
      <c r="A37" s="4" t="s">
        <v>306</v>
      </c>
      <c r="B37" s="4">
        <v>7407.6930000000002</v>
      </c>
      <c r="C37" s="4">
        <v>7408.0060000000003</v>
      </c>
      <c r="D37" s="4">
        <v>462058.89</v>
      </c>
      <c r="E37" s="4">
        <v>10.077289</v>
      </c>
      <c r="F37" s="4">
        <v>13.183464000000001</v>
      </c>
    </row>
    <row r="38" spans="1:6" x14ac:dyDescent="0.2">
      <c r="A38" s="4" t="s">
        <v>307</v>
      </c>
      <c r="B38" s="4">
        <v>7407.6930000000002</v>
      </c>
      <c r="C38" s="4">
        <v>7408.0060000000003</v>
      </c>
      <c r="D38" s="4">
        <v>462058.89</v>
      </c>
      <c r="E38" s="4">
        <v>10.077289</v>
      </c>
      <c r="F38" s="4">
        <v>13.183464000000001</v>
      </c>
    </row>
    <row r="39" spans="1:6" x14ac:dyDescent="0.2">
      <c r="A39" s="4" t="s">
        <v>308</v>
      </c>
      <c r="B39" s="4">
        <v>7407.6930000000002</v>
      </c>
      <c r="C39" s="4">
        <v>7408.0060000000003</v>
      </c>
      <c r="D39" s="4">
        <v>462058.89</v>
      </c>
      <c r="E39" s="4">
        <v>10.077289</v>
      </c>
      <c r="F39" s="4">
        <v>13.183464000000001</v>
      </c>
    </row>
    <row r="40" spans="1:6" x14ac:dyDescent="0.2">
      <c r="A40" s="4" t="s">
        <v>309</v>
      </c>
      <c r="B40" s="4">
        <v>7407.6930000000002</v>
      </c>
      <c r="C40" s="4">
        <v>7408.0060000000003</v>
      </c>
      <c r="D40" s="4">
        <v>462058.89</v>
      </c>
      <c r="E40" s="4">
        <v>10.077289</v>
      </c>
      <c r="F40" s="4">
        <v>13.183464000000001</v>
      </c>
    </row>
    <row r="41" spans="1:6" x14ac:dyDescent="0.2">
      <c r="A41" s="4" t="s">
        <v>310</v>
      </c>
      <c r="B41" s="4">
        <v>7407.6930000000002</v>
      </c>
      <c r="C41" s="4">
        <v>7408.0060000000003</v>
      </c>
      <c r="D41" s="4">
        <v>462058.89</v>
      </c>
      <c r="E41" s="4">
        <v>10.077289</v>
      </c>
      <c r="F41" s="4">
        <v>13.183464000000001</v>
      </c>
    </row>
    <row r="42" spans="1:6" x14ac:dyDescent="0.2">
      <c r="A42" s="4" t="s">
        <v>311</v>
      </c>
      <c r="B42" s="4">
        <v>7423.6880000000001</v>
      </c>
      <c r="C42" s="4">
        <v>7424.0010000000002</v>
      </c>
      <c r="D42" s="4">
        <v>434775.03</v>
      </c>
      <c r="E42" s="4">
        <v>9.7780419999999992</v>
      </c>
      <c r="F42" s="4">
        <v>12.405001</v>
      </c>
    </row>
    <row r="43" spans="1:6" x14ac:dyDescent="0.2">
      <c r="A43" s="4" t="s">
        <v>312</v>
      </c>
      <c r="B43" s="4">
        <v>7423.6880000000001</v>
      </c>
      <c r="C43" s="4">
        <v>7424.0010000000002</v>
      </c>
      <c r="D43" s="4">
        <v>434775.03</v>
      </c>
      <c r="E43" s="4">
        <v>9.7780419999999992</v>
      </c>
      <c r="F43" s="4">
        <v>12.405001</v>
      </c>
    </row>
    <row r="44" spans="1:6" x14ac:dyDescent="0.2">
      <c r="A44" s="4" t="s">
        <v>313</v>
      </c>
      <c r="B44" s="4">
        <v>7423.6880000000001</v>
      </c>
      <c r="C44" s="4">
        <v>7424.0010000000002</v>
      </c>
      <c r="D44" s="4">
        <v>434775.03</v>
      </c>
      <c r="E44" s="4">
        <v>9.7780419999999992</v>
      </c>
      <c r="F44" s="4">
        <v>12.405001</v>
      </c>
    </row>
    <row r="45" spans="1:6" x14ac:dyDescent="0.2">
      <c r="A45" s="4" t="s">
        <v>314</v>
      </c>
      <c r="B45" s="4">
        <v>7423.6880000000001</v>
      </c>
      <c r="C45" s="4">
        <v>7424.0010000000002</v>
      </c>
      <c r="D45" s="4">
        <v>434775.03</v>
      </c>
      <c r="E45" s="4">
        <v>9.7780419999999992</v>
      </c>
      <c r="F45" s="4">
        <v>12.405001</v>
      </c>
    </row>
    <row r="46" spans="1:6" x14ac:dyDescent="0.2">
      <c r="A46" s="4" t="s">
        <v>315</v>
      </c>
      <c r="B46" s="4">
        <v>7423.6880000000001</v>
      </c>
      <c r="C46" s="4">
        <v>7424.0010000000002</v>
      </c>
      <c r="D46" s="4">
        <v>434775.03</v>
      </c>
      <c r="E46" s="4">
        <v>9.7780419999999992</v>
      </c>
      <c r="F46" s="4">
        <v>12.405001</v>
      </c>
    </row>
    <row r="47" spans="1:6" x14ac:dyDescent="0.2">
      <c r="A47" s="4" t="s">
        <v>316</v>
      </c>
      <c r="B47" s="4">
        <v>7423.6880000000001</v>
      </c>
      <c r="C47" s="4">
        <v>7424.0010000000002</v>
      </c>
      <c r="D47" s="4">
        <v>434775.03</v>
      </c>
      <c r="E47" s="4">
        <v>9.7780419999999992</v>
      </c>
      <c r="F47" s="4">
        <v>12.405001</v>
      </c>
    </row>
    <row r="48" spans="1:6" x14ac:dyDescent="0.2">
      <c r="A48" s="4" t="s">
        <v>317</v>
      </c>
      <c r="B48" s="4">
        <v>7423.6880000000001</v>
      </c>
      <c r="C48" s="4">
        <v>7424.0010000000002</v>
      </c>
      <c r="D48" s="4">
        <v>434775.03</v>
      </c>
      <c r="E48" s="4">
        <v>9.7780419999999992</v>
      </c>
      <c r="F48" s="4">
        <v>12.405001</v>
      </c>
    </row>
    <row r="49" spans="1:6" x14ac:dyDescent="0.2">
      <c r="A49" s="4" t="s">
        <v>318</v>
      </c>
      <c r="B49" s="4">
        <v>7423.6880000000001</v>
      </c>
      <c r="C49" s="4">
        <v>7424.0010000000002</v>
      </c>
      <c r="D49" s="4">
        <v>434775.03</v>
      </c>
      <c r="E49" s="4">
        <v>9.7780419999999992</v>
      </c>
      <c r="F49" s="4">
        <v>12.405001</v>
      </c>
    </row>
    <row r="50" spans="1:6" x14ac:dyDescent="0.2">
      <c r="A50" s="4" t="s">
        <v>319</v>
      </c>
      <c r="B50" s="4">
        <v>7423.6880000000001</v>
      </c>
      <c r="C50" s="4">
        <v>7424.0010000000002</v>
      </c>
      <c r="D50" s="4">
        <v>434775.03</v>
      </c>
      <c r="E50" s="4">
        <v>9.7780419999999992</v>
      </c>
      <c r="F50" s="4">
        <v>12.405001</v>
      </c>
    </row>
    <row r="51" spans="1:6" x14ac:dyDescent="0.2">
      <c r="A51" s="4" t="s">
        <v>320</v>
      </c>
      <c r="B51" s="4">
        <v>7423.6880000000001</v>
      </c>
      <c r="C51" s="4">
        <v>7424.0010000000002</v>
      </c>
      <c r="D51" s="4">
        <v>434775.03</v>
      </c>
      <c r="E51" s="4">
        <v>9.7780419999999992</v>
      </c>
      <c r="F51" s="4">
        <v>12.405001</v>
      </c>
    </row>
    <row r="52" spans="1:6" x14ac:dyDescent="0.2">
      <c r="A52" s="4" t="s">
        <v>321</v>
      </c>
      <c r="B52" s="4">
        <v>7423.6880000000001</v>
      </c>
      <c r="C52" s="4">
        <v>7424.0010000000002</v>
      </c>
      <c r="D52" s="4">
        <v>434775.03</v>
      </c>
      <c r="E52" s="4">
        <v>9.7780419999999992</v>
      </c>
      <c r="F52" s="4">
        <v>12.405001</v>
      </c>
    </row>
    <row r="53" spans="1:6" x14ac:dyDescent="0.2">
      <c r="A53" s="4" t="s">
        <v>322</v>
      </c>
      <c r="B53" s="4">
        <v>7423.6880000000001</v>
      </c>
      <c r="C53" s="4">
        <v>7424.0010000000002</v>
      </c>
      <c r="D53" s="4">
        <v>434775.03</v>
      </c>
      <c r="E53" s="4">
        <v>9.7780419999999992</v>
      </c>
      <c r="F53" s="4">
        <v>12.405001</v>
      </c>
    </row>
    <row r="54" spans="1:6" x14ac:dyDescent="0.2">
      <c r="A54" s="4" t="s">
        <v>323</v>
      </c>
      <c r="B54" s="4">
        <v>7423.6880000000001</v>
      </c>
      <c r="C54" s="4">
        <v>7424.0010000000002</v>
      </c>
      <c r="D54" s="4">
        <v>434775.03</v>
      </c>
      <c r="E54" s="4">
        <v>9.7780419999999992</v>
      </c>
      <c r="F54" s="4">
        <v>12.405001</v>
      </c>
    </row>
    <row r="55" spans="1:6" x14ac:dyDescent="0.2">
      <c r="A55" s="4" t="s">
        <v>324</v>
      </c>
      <c r="B55" s="4">
        <v>7423.6880000000001</v>
      </c>
      <c r="C55" s="4">
        <v>7424.0010000000002</v>
      </c>
      <c r="D55" s="4">
        <v>434775.03</v>
      </c>
      <c r="E55" s="4">
        <v>9.7780419999999992</v>
      </c>
      <c r="F55" s="4">
        <v>12.405001</v>
      </c>
    </row>
    <row r="56" spans="1:6" x14ac:dyDescent="0.2">
      <c r="A56" s="4" t="s">
        <v>325</v>
      </c>
      <c r="B56" s="4">
        <v>7423.6880000000001</v>
      </c>
      <c r="C56" s="4">
        <v>7424.0010000000002</v>
      </c>
      <c r="D56" s="4">
        <v>434775.03</v>
      </c>
      <c r="E56" s="4">
        <v>9.7780419999999992</v>
      </c>
      <c r="F56" s="4">
        <v>12.405001</v>
      </c>
    </row>
    <row r="57" spans="1:6" x14ac:dyDescent="0.2">
      <c r="A57" s="4" t="s">
        <v>326</v>
      </c>
      <c r="B57" s="4">
        <v>7423.6880000000001</v>
      </c>
      <c r="C57" s="4">
        <v>7424.0010000000002</v>
      </c>
      <c r="D57" s="4">
        <v>434775.03</v>
      </c>
      <c r="E57" s="4">
        <v>9.7780419999999992</v>
      </c>
      <c r="F57" s="4">
        <v>12.405001</v>
      </c>
    </row>
    <row r="58" spans="1:6" x14ac:dyDescent="0.2">
      <c r="A58" s="4" t="s">
        <v>327</v>
      </c>
      <c r="B58" s="4">
        <v>7423.6880000000001</v>
      </c>
      <c r="C58" s="4">
        <v>7424.0010000000002</v>
      </c>
      <c r="D58" s="4">
        <v>434775.03</v>
      </c>
      <c r="E58" s="4">
        <v>9.7780419999999992</v>
      </c>
      <c r="F58" s="4">
        <v>12.405001</v>
      </c>
    </row>
    <row r="59" spans="1:6" x14ac:dyDescent="0.2">
      <c r="A59" s="4" t="s">
        <v>328</v>
      </c>
      <c r="B59" s="4">
        <v>7423.6880000000001</v>
      </c>
      <c r="C59" s="4">
        <v>7424.0010000000002</v>
      </c>
      <c r="D59" s="4">
        <v>434775.03</v>
      </c>
      <c r="E59" s="4">
        <v>9.7780419999999992</v>
      </c>
      <c r="F59" s="4">
        <v>12.405001</v>
      </c>
    </row>
    <row r="60" spans="1:6" x14ac:dyDescent="0.2">
      <c r="A60" s="4" t="s">
        <v>329</v>
      </c>
      <c r="B60" s="4">
        <v>7423.6880000000001</v>
      </c>
      <c r="C60" s="4">
        <v>7424.0010000000002</v>
      </c>
      <c r="D60" s="4">
        <v>434775.03</v>
      </c>
      <c r="E60" s="4">
        <v>9.7780419999999992</v>
      </c>
      <c r="F60" s="4">
        <v>12.405001</v>
      </c>
    </row>
    <row r="61" spans="1:6" x14ac:dyDescent="0.2">
      <c r="A61" s="4" t="s">
        <v>330</v>
      </c>
      <c r="B61" s="4">
        <v>7423.6880000000001</v>
      </c>
      <c r="C61" s="4">
        <v>7424.0010000000002</v>
      </c>
      <c r="D61" s="4">
        <v>434775.03</v>
      </c>
      <c r="E61" s="4">
        <v>9.7780419999999992</v>
      </c>
      <c r="F61" s="4">
        <v>12.405001</v>
      </c>
    </row>
    <row r="62" spans="1:6" x14ac:dyDescent="0.2">
      <c r="A62" s="4" t="s">
        <v>331</v>
      </c>
      <c r="B62" s="4">
        <v>7423.6880000000001</v>
      </c>
      <c r="C62" s="4">
        <v>7424.0010000000002</v>
      </c>
      <c r="D62" s="4">
        <v>434775.03</v>
      </c>
      <c r="E62" s="4">
        <v>9.7780419999999992</v>
      </c>
      <c r="F62" s="4">
        <v>12.405001</v>
      </c>
    </row>
    <row r="63" spans="1:6" x14ac:dyDescent="0.2">
      <c r="A63" s="4" t="s">
        <v>332</v>
      </c>
      <c r="B63" s="4">
        <v>7423.6880000000001</v>
      </c>
      <c r="C63" s="4">
        <v>7424.0010000000002</v>
      </c>
      <c r="D63" s="4">
        <v>434775.03</v>
      </c>
      <c r="E63" s="4">
        <v>9.7780419999999992</v>
      </c>
      <c r="F63" s="4">
        <v>12.405001</v>
      </c>
    </row>
    <row r="64" spans="1:6" x14ac:dyDescent="0.2">
      <c r="A64" s="4" t="s">
        <v>333</v>
      </c>
      <c r="B64" s="4">
        <v>7423.6880000000001</v>
      </c>
      <c r="C64" s="4">
        <v>7424.0010000000002</v>
      </c>
      <c r="D64" s="4">
        <v>434775.03</v>
      </c>
      <c r="E64" s="4">
        <v>9.7780419999999992</v>
      </c>
      <c r="F64" s="4">
        <v>12.405001</v>
      </c>
    </row>
    <row r="65" spans="1:6" x14ac:dyDescent="0.2">
      <c r="A65" s="4" t="s">
        <v>334</v>
      </c>
      <c r="B65" s="4">
        <v>7423.6880000000001</v>
      </c>
      <c r="C65" s="4">
        <v>7424.0010000000002</v>
      </c>
      <c r="D65" s="4">
        <v>434775.03</v>
      </c>
      <c r="E65" s="4">
        <v>9.7780419999999992</v>
      </c>
      <c r="F65" s="4">
        <v>12.405001</v>
      </c>
    </row>
    <row r="66" spans="1:6" x14ac:dyDescent="0.2">
      <c r="A66" s="4" t="s">
        <v>335</v>
      </c>
      <c r="B66" s="4">
        <v>7055.6130000000003</v>
      </c>
      <c r="C66" s="4">
        <v>7055.9390000000003</v>
      </c>
      <c r="D66" s="4">
        <v>424069.49</v>
      </c>
      <c r="E66" s="4">
        <v>9.3882359999999991</v>
      </c>
      <c r="F66" s="4">
        <v>12.099550000000001</v>
      </c>
    </row>
    <row r="67" spans="1:6" x14ac:dyDescent="0.2">
      <c r="A67" s="4" t="s">
        <v>336</v>
      </c>
      <c r="B67" s="4">
        <v>7055.6130000000003</v>
      </c>
      <c r="C67" s="4">
        <v>7055.9390000000003</v>
      </c>
      <c r="D67" s="4">
        <v>424069.49</v>
      </c>
      <c r="E67" s="4">
        <v>9.3882359999999991</v>
      </c>
      <c r="F67" s="4">
        <v>12.099550000000001</v>
      </c>
    </row>
    <row r="68" spans="1:6" x14ac:dyDescent="0.2">
      <c r="A68" s="4" t="s">
        <v>337</v>
      </c>
      <c r="B68" s="4">
        <v>7055.6130000000003</v>
      </c>
      <c r="C68" s="4">
        <v>7055.9390000000003</v>
      </c>
      <c r="D68" s="4">
        <v>424069.49</v>
      </c>
      <c r="E68" s="4">
        <v>9.3882359999999991</v>
      </c>
      <c r="F68" s="4">
        <v>12.099550000000001</v>
      </c>
    </row>
    <row r="69" spans="1:6" x14ac:dyDescent="0.2">
      <c r="A69" s="4" t="s">
        <v>338</v>
      </c>
      <c r="B69" s="4">
        <v>7446.7150000000001</v>
      </c>
      <c r="C69" s="4">
        <v>7447.0259999999998</v>
      </c>
      <c r="D69" s="4">
        <v>412018.88</v>
      </c>
      <c r="E69" s="4">
        <v>9.9865999999999993</v>
      </c>
      <c r="F69" s="4">
        <v>11.755722</v>
      </c>
    </row>
    <row r="70" spans="1:6" x14ac:dyDescent="0.2">
      <c r="A70" s="4" t="s">
        <v>339</v>
      </c>
      <c r="B70" s="4">
        <v>7446.7150000000001</v>
      </c>
      <c r="C70" s="4">
        <v>7447.0259999999998</v>
      </c>
      <c r="D70" s="4">
        <v>412018.88</v>
      </c>
      <c r="E70" s="4">
        <v>9.9865999999999993</v>
      </c>
      <c r="F70" s="4">
        <v>11.755722</v>
      </c>
    </row>
    <row r="71" spans="1:6" x14ac:dyDescent="0.2">
      <c r="A71" s="4" t="s">
        <v>340</v>
      </c>
      <c r="B71" s="4">
        <v>7446.7150000000001</v>
      </c>
      <c r="C71" s="4">
        <v>7447.0259999999998</v>
      </c>
      <c r="D71" s="4">
        <v>412018.88</v>
      </c>
      <c r="E71" s="4">
        <v>9.9865999999999993</v>
      </c>
      <c r="F71" s="4">
        <v>11.755722</v>
      </c>
    </row>
    <row r="72" spans="1:6" x14ac:dyDescent="0.2">
      <c r="A72" s="4" t="s">
        <v>341</v>
      </c>
      <c r="B72" s="4">
        <v>7446.7150000000001</v>
      </c>
      <c r="C72" s="4">
        <v>7447.0259999999998</v>
      </c>
      <c r="D72" s="4">
        <v>412018.88</v>
      </c>
      <c r="E72" s="4">
        <v>9.9865999999999993</v>
      </c>
      <c r="F72" s="4">
        <v>11.755722</v>
      </c>
    </row>
    <row r="73" spans="1:6" x14ac:dyDescent="0.2">
      <c r="A73" s="4" t="s">
        <v>342</v>
      </c>
      <c r="B73" s="4">
        <v>7446.7150000000001</v>
      </c>
      <c r="C73" s="4">
        <v>7447.0259999999998</v>
      </c>
      <c r="D73" s="4">
        <v>412018.88</v>
      </c>
      <c r="E73" s="4">
        <v>9.9865999999999993</v>
      </c>
      <c r="F73" s="4">
        <v>11.755722</v>
      </c>
    </row>
    <row r="74" spans="1:6" x14ac:dyDescent="0.2">
      <c r="A74" s="4" t="s">
        <v>343</v>
      </c>
      <c r="B74" s="4">
        <v>7446.7150000000001</v>
      </c>
      <c r="C74" s="4">
        <v>7447.0259999999998</v>
      </c>
      <c r="D74" s="4">
        <v>412018.88</v>
      </c>
      <c r="E74" s="4">
        <v>9.9865999999999993</v>
      </c>
      <c r="F74" s="4">
        <v>11.755722</v>
      </c>
    </row>
    <row r="75" spans="1:6" x14ac:dyDescent="0.2">
      <c r="A75" s="4" t="s">
        <v>344</v>
      </c>
      <c r="B75" s="4">
        <v>7446.7150000000001</v>
      </c>
      <c r="C75" s="4">
        <v>7447.0259999999998</v>
      </c>
      <c r="D75" s="4">
        <v>412018.88</v>
      </c>
      <c r="E75" s="4">
        <v>9.9865999999999993</v>
      </c>
      <c r="F75" s="4">
        <v>11.755722</v>
      </c>
    </row>
    <row r="76" spans="1:6" x14ac:dyDescent="0.2">
      <c r="A76" s="4" t="s">
        <v>345</v>
      </c>
      <c r="B76" s="4">
        <v>7446.7150000000001</v>
      </c>
      <c r="C76" s="4">
        <v>7447.0259999999998</v>
      </c>
      <c r="D76" s="4">
        <v>412018.88</v>
      </c>
      <c r="E76" s="4">
        <v>9.9865999999999993</v>
      </c>
      <c r="F76" s="4">
        <v>11.755722</v>
      </c>
    </row>
    <row r="77" spans="1:6" x14ac:dyDescent="0.2">
      <c r="A77" s="4" t="s">
        <v>346</v>
      </c>
      <c r="B77" s="4">
        <v>7446.7150000000001</v>
      </c>
      <c r="C77" s="4">
        <v>7447.0259999999998</v>
      </c>
      <c r="D77" s="4">
        <v>412018.88</v>
      </c>
      <c r="E77" s="4">
        <v>9.9865999999999993</v>
      </c>
      <c r="F77" s="4">
        <v>11.755722</v>
      </c>
    </row>
    <row r="78" spans="1:6" x14ac:dyDescent="0.2">
      <c r="A78" s="4" t="s">
        <v>347</v>
      </c>
      <c r="B78" s="4">
        <v>7446.7150000000001</v>
      </c>
      <c r="C78" s="4">
        <v>7447.0259999999998</v>
      </c>
      <c r="D78" s="4">
        <v>412018.88</v>
      </c>
      <c r="E78" s="4">
        <v>9.9865999999999993</v>
      </c>
      <c r="F78" s="4">
        <v>11.755722</v>
      </c>
    </row>
    <row r="79" spans="1:6" x14ac:dyDescent="0.2">
      <c r="A79" s="4" t="s">
        <v>348</v>
      </c>
      <c r="B79" s="4">
        <v>7446.7150000000001</v>
      </c>
      <c r="C79" s="4">
        <v>7447.0259999999998</v>
      </c>
      <c r="D79" s="4">
        <v>412018.88</v>
      </c>
      <c r="E79" s="4">
        <v>9.9865999999999993</v>
      </c>
      <c r="F79" s="4">
        <v>11.755722</v>
      </c>
    </row>
    <row r="80" spans="1:6" x14ac:dyDescent="0.2">
      <c r="A80" s="4" t="s">
        <v>349</v>
      </c>
      <c r="B80" s="4">
        <v>7446.7150000000001</v>
      </c>
      <c r="C80" s="4">
        <v>7447.0259999999998</v>
      </c>
      <c r="D80" s="4">
        <v>412018.88</v>
      </c>
      <c r="E80" s="4">
        <v>9.9865999999999993</v>
      </c>
      <c r="F80" s="4">
        <v>11.755722</v>
      </c>
    </row>
    <row r="81" spans="1:6" x14ac:dyDescent="0.2">
      <c r="A81" s="4" t="s">
        <v>350</v>
      </c>
      <c r="B81" s="4">
        <v>7362.6220000000003</v>
      </c>
      <c r="C81" s="4">
        <v>7362.9440000000004</v>
      </c>
      <c r="D81" s="4">
        <v>327911.65000000002</v>
      </c>
      <c r="E81" s="4">
        <v>9.7780419999999992</v>
      </c>
      <c r="F81" s="4">
        <v>9.3559750000000008</v>
      </c>
    </row>
    <row r="82" spans="1:6" x14ac:dyDescent="0.2">
      <c r="A82" s="4" t="s">
        <v>351</v>
      </c>
      <c r="B82" s="4">
        <v>7486.7209999999995</v>
      </c>
      <c r="C82" s="4">
        <v>7487.009</v>
      </c>
      <c r="D82" s="4">
        <v>326744.25</v>
      </c>
      <c r="E82" s="4">
        <v>10.050084</v>
      </c>
      <c r="F82" s="4">
        <v>9.3226669999999991</v>
      </c>
    </row>
    <row r="83" spans="1:6" x14ac:dyDescent="0.2">
      <c r="A83" s="4" t="s">
        <v>352</v>
      </c>
      <c r="B83" s="4">
        <v>7486.7209999999995</v>
      </c>
      <c r="C83" s="4">
        <v>7487.009</v>
      </c>
      <c r="D83" s="4">
        <v>326744.25</v>
      </c>
      <c r="E83" s="4">
        <v>10.050084</v>
      </c>
      <c r="F83" s="4">
        <v>9.3226669999999991</v>
      </c>
    </row>
    <row r="84" spans="1:6" x14ac:dyDescent="0.2">
      <c r="A84" s="4" t="s">
        <v>353</v>
      </c>
      <c r="B84" s="4">
        <v>7486.7209999999995</v>
      </c>
      <c r="C84" s="4">
        <v>7487.009</v>
      </c>
      <c r="D84" s="4">
        <v>326744.25</v>
      </c>
      <c r="E84" s="4">
        <v>10.050084</v>
      </c>
      <c r="F84" s="4">
        <v>9.3226669999999991</v>
      </c>
    </row>
    <row r="85" spans="1:6" x14ac:dyDescent="0.2">
      <c r="A85" s="4" t="s">
        <v>354</v>
      </c>
      <c r="B85" s="4">
        <v>7486.7209999999995</v>
      </c>
      <c r="C85" s="4">
        <v>7487.009</v>
      </c>
      <c r="D85" s="4">
        <v>326744.25</v>
      </c>
      <c r="E85" s="4">
        <v>10.050084</v>
      </c>
      <c r="F85" s="4">
        <v>9.3226669999999991</v>
      </c>
    </row>
    <row r="86" spans="1:6" x14ac:dyDescent="0.2">
      <c r="A86" s="4" t="s">
        <v>355</v>
      </c>
      <c r="B86" s="4">
        <v>7486.7209999999995</v>
      </c>
      <c r="C86" s="4">
        <v>7487.009</v>
      </c>
      <c r="D86" s="4">
        <v>326744.25</v>
      </c>
      <c r="E86" s="4">
        <v>10.050084</v>
      </c>
      <c r="F86" s="4">
        <v>9.3226669999999991</v>
      </c>
    </row>
    <row r="87" spans="1:6" x14ac:dyDescent="0.2">
      <c r="A87" s="4" t="s">
        <v>356</v>
      </c>
      <c r="B87" s="4">
        <v>7486.7209999999995</v>
      </c>
      <c r="C87" s="4">
        <v>7487.009</v>
      </c>
      <c r="D87" s="4">
        <v>326744.25</v>
      </c>
      <c r="E87" s="4">
        <v>10.050084</v>
      </c>
      <c r="F87" s="4">
        <v>9.3226669999999991</v>
      </c>
    </row>
    <row r="88" spans="1:6" x14ac:dyDescent="0.2">
      <c r="A88" s="4" t="s">
        <v>357</v>
      </c>
      <c r="B88" s="4">
        <v>7431.7039999999997</v>
      </c>
      <c r="C88" s="4">
        <v>7432.0010000000002</v>
      </c>
      <c r="D88" s="4">
        <v>306457.15000000002</v>
      </c>
      <c r="E88" s="4">
        <v>10.258682</v>
      </c>
      <c r="F88" s="4">
        <v>8.7438350000000007</v>
      </c>
    </row>
    <row r="89" spans="1:6" x14ac:dyDescent="0.2">
      <c r="A89" s="4" t="s">
        <v>358</v>
      </c>
      <c r="B89" s="4">
        <v>7431.7039999999997</v>
      </c>
      <c r="C89" s="4">
        <v>7432.0010000000002</v>
      </c>
      <c r="D89" s="4">
        <v>306457.15000000002</v>
      </c>
      <c r="E89" s="4">
        <v>10.258682</v>
      </c>
      <c r="F89" s="4">
        <v>8.7438350000000007</v>
      </c>
    </row>
    <row r="90" spans="1:6" x14ac:dyDescent="0.2">
      <c r="A90" s="4" t="s">
        <v>359</v>
      </c>
      <c r="B90" s="4">
        <v>7431.7039999999997</v>
      </c>
      <c r="C90" s="4">
        <v>7432.0010000000002</v>
      </c>
      <c r="D90" s="4">
        <v>306457.15000000002</v>
      </c>
      <c r="E90" s="4">
        <v>10.258682</v>
      </c>
      <c r="F90" s="4">
        <v>8.7438350000000007</v>
      </c>
    </row>
    <row r="91" spans="1:6" x14ac:dyDescent="0.2">
      <c r="A91" s="4" t="s">
        <v>360</v>
      </c>
      <c r="B91" s="4">
        <v>7431.7039999999997</v>
      </c>
      <c r="C91" s="4">
        <v>7432.0010000000002</v>
      </c>
      <c r="D91" s="4">
        <v>306457.15000000002</v>
      </c>
      <c r="E91" s="4">
        <v>10.258682</v>
      </c>
      <c r="F91" s="4">
        <v>8.7438350000000007</v>
      </c>
    </row>
    <row r="92" spans="1:6" x14ac:dyDescent="0.2">
      <c r="A92" s="4" t="s">
        <v>361</v>
      </c>
      <c r="B92" s="4">
        <v>7383.6809999999996</v>
      </c>
      <c r="C92" s="4">
        <v>7383.9549999999999</v>
      </c>
      <c r="D92" s="4">
        <v>297368.67</v>
      </c>
      <c r="E92" s="4">
        <v>9.6601669999999995</v>
      </c>
      <c r="F92" s="4">
        <v>8.4845220000000001</v>
      </c>
    </row>
    <row r="93" spans="1:6" x14ac:dyDescent="0.2">
      <c r="A93" s="4" t="s">
        <v>362</v>
      </c>
      <c r="B93" s="4">
        <v>7383.6809999999996</v>
      </c>
      <c r="C93" s="4">
        <v>7383.9549999999999</v>
      </c>
      <c r="D93" s="4">
        <v>297368.67</v>
      </c>
      <c r="E93" s="4">
        <v>9.6601669999999995</v>
      </c>
      <c r="F93" s="4">
        <v>8.4845220000000001</v>
      </c>
    </row>
    <row r="94" spans="1:6" x14ac:dyDescent="0.2">
      <c r="A94" s="4" t="s">
        <v>363</v>
      </c>
      <c r="B94" s="4">
        <v>7383.6809999999996</v>
      </c>
      <c r="C94" s="4">
        <v>7383.9549999999999</v>
      </c>
      <c r="D94" s="4">
        <v>297368.67</v>
      </c>
      <c r="E94" s="4">
        <v>9.6601669999999995</v>
      </c>
      <c r="F94" s="4">
        <v>8.4845220000000001</v>
      </c>
    </row>
    <row r="95" spans="1:6" x14ac:dyDescent="0.2">
      <c r="A95" s="4" t="s">
        <v>364</v>
      </c>
      <c r="B95" s="4">
        <v>7383.6809999999996</v>
      </c>
      <c r="C95" s="4">
        <v>7383.9549999999999</v>
      </c>
      <c r="D95" s="4">
        <v>297368.67</v>
      </c>
      <c r="E95" s="4">
        <v>9.6601669999999995</v>
      </c>
      <c r="F95" s="4">
        <v>8.4845220000000001</v>
      </c>
    </row>
    <row r="96" spans="1:6" x14ac:dyDescent="0.2">
      <c r="A96" s="4" t="s">
        <v>365</v>
      </c>
      <c r="B96" s="4">
        <v>7383.6809999999996</v>
      </c>
      <c r="C96" s="4">
        <v>7383.9549999999999</v>
      </c>
      <c r="D96" s="4">
        <v>297368.67</v>
      </c>
      <c r="E96" s="4">
        <v>9.6601669999999995</v>
      </c>
      <c r="F96" s="4">
        <v>8.4845220000000001</v>
      </c>
    </row>
    <row r="97" spans="1:6" x14ac:dyDescent="0.2">
      <c r="A97" s="4" t="s">
        <v>366</v>
      </c>
      <c r="B97" s="4">
        <v>7383.6809999999996</v>
      </c>
      <c r="C97" s="4">
        <v>7383.9549999999999</v>
      </c>
      <c r="D97" s="4">
        <v>297368.67</v>
      </c>
      <c r="E97" s="4">
        <v>9.6601669999999995</v>
      </c>
      <c r="F97" s="4">
        <v>8.4845220000000001</v>
      </c>
    </row>
    <row r="98" spans="1:6" x14ac:dyDescent="0.2">
      <c r="A98" s="4" t="s">
        <v>367</v>
      </c>
      <c r="B98" s="4">
        <v>7383.6809999999996</v>
      </c>
      <c r="C98" s="4">
        <v>7383.9549999999999</v>
      </c>
      <c r="D98" s="4">
        <v>297368.67</v>
      </c>
      <c r="E98" s="4">
        <v>9.6601669999999995</v>
      </c>
      <c r="F98" s="4">
        <v>8.4845220000000001</v>
      </c>
    </row>
    <row r="99" spans="1:6" x14ac:dyDescent="0.2">
      <c r="A99" s="4" t="s">
        <v>368</v>
      </c>
      <c r="B99" s="4">
        <v>7383.6809999999996</v>
      </c>
      <c r="C99" s="4">
        <v>7383.9549999999999</v>
      </c>
      <c r="D99" s="4">
        <v>297368.67</v>
      </c>
      <c r="E99" s="4">
        <v>9.6601669999999995</v>
      </c>
      <c r="F99" s="4">
        <v>8.4845220000000001</v>
      </c>
    </row>
    <row r="100" spans="1:6" x14ac:dyDescent="0.2">
      <c r="A100" s="4" t="s">
        <v>369</v>
      </c>
      <c r="B100" s="4">
        <v>7383.6809999999996</v>
      </c>
      <c r="C100" s="4">
        <v>7383.9549999999999</v>
      </c>
      <c r="D100" s="4">
        <v>297368.67</v>
      </c>
      <c r="E100" s="4">
        <v>9.6601669999999995</v>
      </c>
      <c r="F100" s="4">
        <v>8.4845220000000001</v>
      </c>
    </row>
    <row r="101" spans="1:6" x14ac:dyDescent="0.2">
      <c r="A101" s="4" t="s">
        <v>370</v>
      </c>
      <c r="B101" s="4">
        <v>7383.6809999999996</v>
      </c>
      <c r="C101" s="4">
        <v>7383.9549999999999</v>
      </c>
      <c r="D101" s="4">
        <v>297368.67</v>
      </c>
      <c r="E101" s="4">
        <v>9.6601669999999995</v>
      </c>
      <c r="F101" s="4">
        <v>8.4845220000000001</v>
      </c>
    </row>
    <row r="102" spans="1:6" x14ac:dyDescent="0.2">
      <c r="A102" s="4" t="s">
        <v>371</v>
      </c>
      <c r="B102" s="4">
        <v>7383.6809999999996</v>
      </c>
      <c r="C102" s="4">
        <v>7383.9549999999999</v>
      </c>
      <c r="D102" s="4">
        <v>297368.67</v>
      </c>
      <c r="E102" s="4">
        <v>9.6601669999999995</v>
      </c>
      <c r="F102" s="4">
        <v>8.4845220000000001</v>
      </c>
    </row>
    <row r="103" spans="1:6" x14ac:dyDescent="0.2">
      <c r="A103" s="4" t="s">
        <v>372</v>
      </c>
      <c r="B103" s="4">
        <v>7383.6809999999996</v>
      </c>
      <c r="C103" s="4">
        <v>7383.9549999999999</v>
      </c>
      <c r="D103" s="4">
        <v>297368.67</v>
      </c>
      <c r="E103" s="4">
        <v>9.6601669999999995</v>
      </c>
      <c r="F103" s="4">
        <v>8.4845220000000001</v>
      </c>
    </row>
    <row r="104" spans="1:6" x14ac:dyDescent="0.2">
      <c r="A104" s="4" t="s">
        <v>373</v>
      </c>
      <c r="B104" s="4">
        <v>7095.6189999999997</v>
      </c>
      <c r="C104" s="4">
        <v>7095.9480000000003</v>
      </c>
      <c r="D104" s="4">
        <v>294841.46999999997</v>
      </c>
      <c r="E104" s="4">
        <v>9.4788820000000005</v>
      </c>
      <c r="F104" s="4">
        <v>8.4124160000000003</v>
      </c>
    </row>
    <row r="105" spans="1:6" x14ac:dyDescent="0.2">
      <c r="A105" s="4" t="s">
        <v>374</v>
      </c>
      <c r="B105" s="4">
        <v>7095.6189999999997</v>
      </c>
      <c r="C105" s="4">
        <v>7095.9480000000003</v>
      </c>
      <c r="D105" s="4">
        <v>294841.46999999997</v>
      </c>
      <c r="E105" s="4">
        <v>9.4788820000000005</v>
      </c>
      <c r="F105" s="4">
        <v>8.4124160000000003</v>
      </c>
    </row>
    <row r="106" spans="1:6" x14ac:dyDescent="0.2">
      <c r="A106" s="4" t="s">
        <v>375</v>
      </c>
      <c r="B106" s="4">
        <v>7095.6189999999997</v>
      </c>
      <c r="C106" s="4">
        <v>7095.9480000000003</v>
      </c>
      <c r="D106" s="4">
        <v>294841.46999999997</v>
      </c>
      <c r="E106" s="4">
        <v>9.4788820000000005</v>
      </c>
      <c r="F106" s="4">
        <v>8.4124160000000003</v>
      </c>
    </row>
    <row r="107" spans="1:6" x14ac:dyDescent="0.2">
      <c r="A107" s="4" t="s">
        <v>376</v>
      </c>
      <c r="B107" s="4">
        <v>6789.5940000000001</v>
      </c>
      <c r="C107" s="4">
        <v>6789.9179999999997</v>
      </c>
      <c r="D107" s="4">
        <v>293710.98</v>
      </c>
      <c r="E107" s="4">
        <v>9.1797869999999993</v>
      </c>
      <c r="F107" s="4">
        <v>8.3801609999999993</v>
      </c>
    </row>
    <row r="108" spans="1:6" x14ac:dyDescent="0.2">
      <c r="A108" s="4" t="s">
        <v>377</v>
      </c>
      <c r="B108" s="4">
        <v>6789.5940000000001</v>
      </c>
      <c r="C108" s="4">
        <v>6789.9179999999997</v>
      </c>
      <c r="D108" s="4">
        <v>293710.98</v>
      </c>
      <c r="E108" s="4">
        <v>9.1797869999999993</v>
      </c>
      <c r="F108" s="4">
        <v>8.3801609999999993</v>
      </c>
    </row>
    <row r="109" spans="1:6" x14ac:dyDescent="0.2">
      <c r="A109" s="4" t="s">
        <v>378</v>
      </c>
      <c r="B109" s="4">
        <v>7134.6409999999996</v>
      </c>
      <c r="C109" s="4">
        <v>7134.9489999999996</v>
      </c>
      <c r="D109" s="4">
        <v>288932.57</v>
      </c>
      <c r="E109" s="4">
        <v>9.5106029999999997</v>
      </c>
      <c r="F109" s="4">
        <v>8.243824</v>
      </c>
    </row>
    <row r="110" spans="1:6" x14ac:dyDescent="0.2">
      <c r="A110" s="4" t="s">
        <v>379</v>
      </c>
      <c r="B110" s="4">
        <v>7134.6409999999996</v>
      </c>
      <c r="C110" s="4">
        <v>7134.9489999999996</v>
      </c>
      <c r="D110" s="4">
        <v>288932.57</v>
      </c>
      <c r="E110" s="4">
        <v>9.5106029999999997</v>
      </c>
      <c r="F110" s="4">
        <v>8.243824</v>
      </c>
    </row>
    <row r="111" spans="1:6" x14ac:dyDescent="0.2">
      <c r="A111" s="4" t="s">
        <v>380</v>
      </c>
      <c r="B111" s="4">
        <v>7134.6409999999996</v>
      </c>
      <c r="C111" s="4">
        <v>7134.9489999999996</v>
      </c>
      <c r="D111" s="4">
        <v>288932.57</v>
      </c>
      <c r="E111" s="4">
        <v>9.5106029999999997</v>
      </c>
      <c r="F111" s="4">
        <v>8.243824</v>
      </c>
    </row>
    <row r="112" spans="1:6" x14ac:dyDescent="0.2">
      <c r="A112" s="4" t="s">
        <v>381</v>
      </c>
      <c r="B112" s="4">
        <v>6443.5619999999999</v>
      </c>
      <c r="C112" s="4">
        <v>6443.8819999999996</v>
      </c>
      <c r="D112" s="4">
        <v>272449.32</v>
      </c>
      <c r="E112" s="4">
        <v>8.7899989999999999</v>
      </c>
      <c r="F112" s="4">
        <v>7.7735240000000001</v>
      </c>
    </row>
    <row r="113" spans="1:6" x14ac:dyDescent="0.2">
      <c r="A113" s="4" t="s">
        <v>382</v>
      </c>
      <c r="B113" s="4">
        <v>6773.5990000000002</v>
      </c>
      <c r="C113" s="4">
        <v>6773.9229999999998</v>
      </c>
      <c r="D113" s="4">
        <v>242208.29</v>
      </c>
      <c r="E113" s="4">
        <v>9.5423349999999996</v>
      </c>
      <c r="F113" s="4">
        <v>6.9106870000000002</v>
      </c>
    </row>
    <row r="114" spans="1:6" x14ac:dyDescent="0.2">
      <c r="A114" s="4" t="s">
        <v>383</v>
      </c>
      <c r="B114" s="4">
        <v>6773.5990000000002</v>
      </c>
      <c r="C114" s="4">
        <v>6773.9229999999998</v>
      </c>
      <c r="D114" s="4">
        <v>242208.29</v>
      </c>
      <c r="E114" s="4">
        <v>9.5423349999999996</v>
      </c>
      <c r="F114" s="4">
        <v>6.9106870000000002</v>
      </c>
    </row>
    <row r="115" spans="1:6" x14ac:dyDescent="0.2">
      <c r="A115" s="4" t="s">
        <v>384</v>
      </c>
      <c r="B115" s="4">
        <v>6828.616</v>
      </c>
      <c r="C115" s="4">
        <v>6828.9369999999999</v>
      </c>
      <c r="D115" s="4">
        <v>228057.61</v>
      </c>
      <c r="E115" s="4">
        <v>9.2432259999999999</v>
      </c>
      <c r="F115" s="4">
        <v>6.506939</v>
      </c>
    </row>
    <row r="116" spans="1:6" x14ac:dyDescent="0.2">
      <c r="A116" s="4" t="s">
        <v>385</v>
      </c>
      <c r="B116" s="4">
        <v>7054.6289999999999</v>
      </c>
      <c r="C116" s="4">
        <v>7054.9459999999999</v>
      </c>
      <c r="D116" s="4">
        <v>221088.53</v>
      </c>
      <c r="E116" s="4">
        <v>9.2432259999999999</v>
      </c>
      <c r="F116" s="4">
        <v>6.3080980000000002</v>
      </c>
    </row>
    <row r="117" spans="1:6" x14ac:dyDescent="0.2">
      <c r="A117" s="4" t="s">
        <v>386</v>
      </c>
      <c r="B117" s="4">
        <v>7054.6289999999999</v>
      </c>
      <c r="C117" s="4">
        <v>7054.9459999999999</v>
      </c>
      <c r="D117" s="4">
        <v>221088.53</v>
      </c>
      <c r="E117" s="4">
        <v>9.2432259999999999</v>
      </c>
      <c r="F117" s="4">
        <v>6.3080980000000002</v>
      </c>
    </row>
    <row r="118" spans="1:6" x14ac:dyDescent="0.2">
      <c r="A118" s="4" t="s">
        <v>387</v>
      </c>
      <c r="B118" s="4">
        <v>7054.6289999999999</v>
      </c>
      <c r="C118" s="4">
        <v>7054.9459999999999</v>
      </c>
      <c r="D118" s="4">
        <v>221088.53</v>
      </c>
      <c r="E118" s="4">
        <v>9.2432259999999999</v>
      </c>
      <c r="F118" s="4">
        <v>6.3080980000000002</v>
      </c>
    </row>
    <row r="119" spans="1:6" x14ac:dyDescent="0.2">
      <c r="A119" s="4" t="s">
        <v>388</v>
      </c>
      <c r="B119" s="4">
        <v>7406.7089999999998</v>
      </c>
      <c r="C119" s="4">
        <v>7407.0069999999996</v>
      </c>
      <c r="D119" s="4">
        <v>209137.09</v>
      </c>
      <c r="E119" s="4">
        <v>9.9594079999999998</v>
      </c>
      <c r="F119" s="4">
        <v>5.9670990000000002</v>
      </c>
    </row>
    <row r="120" spans="1:6" x14ac:dyDescent="0.2">
      <c r="A120" s="4" t="s">
        <v>389</v>
      </c>
      <c r="B120" s="4">
        <v>7406.7089999999998</v>
      </c>
      <c r="C120" s="4">
        <v>7407.0069999999996</v>
      </c>
      <c r="D120" s="4">
        <v>209137.09</v>
      </c>
      <c r="E120" s="4">
        <v>9.9594079999999998</v>
      </c>
      <c r="F120" s="4">
        <v>5.9670990000000002</v>
      </c>
    </row>
    <row r="121" spans="1:6" x14ac:dyDescent="0.2">
      <c r="A121" s="4" t="s">
        <v>390</v>
      </c>
      <c r="B121" s="4">
        <v>7406.7089999999998</v>
      </c>
      <c r="C121" s="4">
        <v>7407.0069999999996</v>
      </c>
      <c r="D121" s="4">
        <v>209137.09</v>
      </c>
      <c r="E121" s="4">
        <v>9.9594079999999998</v>
      </c>
      <c r="F121" s="4">
        <v>5.9670990000000002</v>
      </c>
    </row>
    <row r="122" spans="1:6" x14ac:dyDescent="0.2">
      <c r="A122" s="4" t="s">
        <v>391</v>
      </c>
      <c r="B122" s="4">
        <v>7406.7089999999998</v>
      </c>
      <c r="C122" s="4">
        <v>7407.0069999999996</v>
      </c>
      <c r="D122" s="4">
        <v>209137.09</v>
      </c>
      <c r="E122" s="4">
        <v>9.9594079999999998</v>
      </c>
      <c r="F122" s="4">
        <v>5.9670990000000002</v>
      </c>
    </row>
    <row r="123" spans="1:6" x14ac:dyDescent="0.2">
      <c r="A123" s="4" t="s">
        <v>392</v>
      </c>
      <c r="B123" s="4">
        <v>7406.7089999999998</v>
      </c>
      <c r="C123" s="4">
        <v>7407.0069999999996</v>
      </c>
      <c r="D123" s="4">
        <v>209137.09</v>
      </c>
      <c r="E123" s="4">
        <v>9.9594079999999998</v>
      </c>
      <c r="F123" s="4">
        <v>5.9670990000000002</v>
      </c>
    </row>
    <row r="124" spans="1:6" x14ac:dyDescent="0.2">
      <c r="A124" s="4" t="s">
        <v>393</v>
      </c>
      <c r="B124" s="4">
        <v>7406.7089999999998</v>
      </c>
      <c r="C124" s="4">
        <v>7407.0069999999996</v>
      </c>
      <c r="D124" s="4">
        <v>209137.09</v>
      </c>
      <c r="E124" s="4">
        <v>9.9594079999999998</v>
      </c>
      <c r="F124" s="4">
        <v>5.9670990000000002</v>
      </c>
    </row>
    <row r="125" spans="1:6" x14ac:dyDescent="0.2">
      <c r="A125" s="4" t="s">
        <v>394</v>
      </c>
      <c r="B125" s="4">
        <v>7440.6660000000002</v>
      </c>
      <c r="C125" s="4">
        <v>7440.9750000000004</v>
      </c>
      <c r="D125" s="4">
        <v>181710.56</v>
      </c>
      <c r="E125" s="4">
        <v>9.7190960000000004</v>
      </c>
      <c r="F125" s="4">
        <v>5.1845650000000001</v>
      </c>
    </row>
    <row r="126" spans="1:6" x14ac:dyDescent="0.2">
      <c r="A126" s="4" t="s">
        <v>395</v>
      </c>
      <c r="B126" s="4">
        <v>7440.6660000000002</v>
      </c>
      <c r="C126" s="4">
        <v>7440.9750000000004</v>
      </c>
      <c r="D126" s="4">
        <v>181710.56</v>
      </c>
      <c r="E126" s="4">
        <v>9.7190960000000004</v>
      </c>
      <c r="F126" s="4">
        <v>5.1845650000000001</v>
      </c>
    </row>
    <row r="127" spans="1:6" x14ac:dyDescent="0.2">
      <c r="A127" s="4" t="s">
        <v>396</v>
      </c>
      <c r="B127" s="4">
        <v>7440.6660000000002</v>
      </c>
      <c r="C127" s="4">
        <v>7440.9750000000004</v>
      </c>
      <c r="D127" s="4">
        <v>181710.56</v>
      </c>
      <c r="E127" s="4">
        <v>9.7190960000000004</v>
      </c>
      <c r="F127" s="4">
        <v>5.1845650000000001</v>
      </c>
    </row>
    <row r="128" spans="1:6" x14ac:dyDescent="0.2">
      <c r="A128" s="4" t="s">
        <v>397</v>
      </c>
      <c r="B128" s="4">
        <v>7440.6660000000002</v>
      </c>
      <c r="C128" s="4">
        <v>7440.9750000000004</v>
      </c>
      <c r="D128" s="4">
        <v>181710.56</v>
      </c>
      <c r="E128" s="4">
        <v>9.7190960000000004</v>
      </c>
      <c r="F128" s="4">
        <v>5.1845650000000001</v>
      </c>
    </row>
    <row r="129" spans="1:6" x14ac:dyDescent="0.2">
      <c r="A129" s="4" t="s">
        <v>398</v>
      </c>
      <c r="B129" s="4">
        <v>7440.6660000000002</v>
      </c>
      <c r="C129" s="4">
        <v>7440.9750000000004</v>
      </c>
      <c r="D129" s="4">
        <v>181710.56</v>
      </c>
      <c r="E129" s="4">
        <v>9.7190960000000004</v>
      </c>
      <c r="F129" s="4">
        <v>5.1845650000000001</v>
      </c>
    </row>
    <row r="130" spans="1:6" x14ac:dyDescent="0.2">
      <c r="A130" s="4" t="s">
        <v>399</v>
      </c>
      <c r="B130" s="4">
        <v>7440.6660000000002</v>
      </c>
      <c r="C130" s="4">
        <v>7440.9750000000004</v>
      </c>
      <c r="D130" s="4">
        <v>181710.56</v>
      </c>
      <c r="E130" s="4">
        <v>9.7190960000000004</v>
      </c>
      <c r="F130" s="4">
        <v>5.1845650000000001</v>
      </c>
    </row>
    <row r="131" spans="1:6" x14ac:dyDescent="0.2">
      <c r="A131" s="4" t="s">
        <v>400</v>
      </c>
      <c r="B131" s="4">
        <v>7157.6679999999997</v>
      </c>
      <c r="C131" s="4">
        <v>7157.9579999999996</v>
      </c>
      <c r="D131" s="4">
        <v>180871.32</v>
      </c>
      <c r="E131" s="4">
        <v>9.5695250000000005</v>
      </c>
      <c r="F131" s="4">
        <v>5.1606199999999998</v>
      </c>
    </row>
    <row r="132" spans="1:6" x14ac:dyDescent="0.2">
      <c r="A132" s="4" t="s">
        <v>401</v>
      </c>
      <c r="B132" s="4">
        <v>7157.6679999999997</v>
      </c>
      <c r="C132" s="4">
        <v>7157.9579999999996</v>
      </c>
      <c r="D132" s="4">
        <v>180871.32</v>
      </c>
      <c r="E132" s="4">
        <v>9.5695250000000005</v>
      </c>
      <c r="F132" s="4">
        <v>5.1606199999999998</v>
      </c>
    </row>
    <row r="133" spans="1:6" x14ac:dyDescent="0.2">
      <c r="A133" s="4" t="s">
        <v>402</v>
      </c>
      <c r="B133" s="4">
        <v>7157.6679999999997</v>
      </c>
      <c r="C133" s="4">
        <v>7157.9579999999996</v>
      </c>
      <c r="D133" s="4">
        <v>180871.32</v>
      </c>
      <c r="E133" s="4">
        <v>9.5695250000000005</v>
      </c>
      <c r="F133" s="4">
        <v>5.1606199999999998</v>
      </c>
    </row>
    <row r="134" spans="1:6" x14ac:dyDescent="0.2">
      <c r="A134" s="4" t="s">
        <v>403</v>
      </c>
      <c r="B134" s="4">
        <v>7360.6540000000005</v>
      </c>
      <c r="C134" s="4">
        <v>7360.9780000000001</v>
      </c>
      <c r="D134" s="4">
        <v>170064.06</v>
      </c>
      <c r="E134" s="4">
        <v>9.4516989999999996</v>
      </c>
      <c r="F134" s="4">
        <v>4.8522679999999996</v>
      </c>
    </row>
    <row r="135" spans="1:6" x14ac:dyDescent="0.2">
      <c r="A135" s="4" t="s">
        <v>404</v>
      </c>
      <c r="B135" s="4">
        <v>7360.6540000000005</v>
      </c>
      <c r="C135" s="4">
        <v>7360.9780000000001</v>
      </c>
      <c r="D135" s="4">
        <v>170064.06</v>
      </c>
      <c r="E135" s="4">
        <v>9.4516989999999996</v>
      </c>
      <c r="F135" s="4">
        <v>4.8522679999999996</v>
      </c>
    </row>
    <row r="136" spans="1:6" x14ac:dyDescent="0.2">
      <c r="A136" s="4" t="s">
        <v>405</v>
      </c>
      <c r="B136" s="4">
        <v>7360.6540000000005</v>
      </c>
      <c r="C136" s="4">
        <v>7360.9780000000001</v>
      </c>
      <c r="D136" s="4">
        <v>170064.06</v>
      </c>
      <c r="E136" s="4">
        <v>9.4516989999999996</v>
      </c>
      <c r="F136" s="4">
        <v>4.8522679999999996</v>
      </c>
    </row>
    <row r="137" spans="1:6" x14ac:dyDescent="0.2">
      <c r="A137" s="4" t="s">
        <v>406</v>
      </c>
      <c r="B137" s="4">
        <v>7360.6540000000005</v>
      </c>
      <c r="C137" s="4">
        <v>7360.9780000000001</v>
      </c>
      <c r="D137" s="4">
        <v>170064.06</v>
      </c>
      <c r="E137" s="4">
        <v>9.4516989999999996</v>
      </c>
      <c r="F137" s="4">
        <v>4.8522679999999996</v>
      </c>
    </row>
    <row r="138" spans="1:6" x14ac:dyDescent="0.2">
      <c r="A138" s="4" t="s">
        <v>407</v>
      </c>
      <c r="B138" s="4">
        <v>7360.6540000000005</v>
      </c>
      <c r="C138" s="4">
        <v>7360.9780000000001</v>
      </c>
      <c r="D138" s="4">
        <v>170064.06</v>
      </c>
      <c r="E138" s="4">
        <v>9.4516989999999996</v>
      </c>
      <c r="F138" s="4">
        <v>4.8522679999999996</v>
      </c>
    </row>
    <row r="139" spans="1:6" x14ac:dyDescent="0.2">
      <c r="A139" s="4" t="s">
        <v>408</v>
      </c>
      <c r="B139" s="4">
        <v>7360.6540000000005</v>
      </c>
      <c r="C139" s="4">
        <v>7360.9780000000001</v>
      </c>
      <c r="D139" s="4">
        <v>170064.06</v>
      </c>
      <c r="E139" s="4">
        <v>9.4516989999999996</v>
      </c>
      <c r="F139" s="4">
        <v>4.8522679999999996</v>
      </c>
    </row>
    <row r="140" spans="1:6" x14ac:dyDescent="0.2">
      <c r="A140" s="4" t="s">
        <v>409</v>
      </c>
      <c r="B140" s="4">
        <v>7479.6890000000003</v>
      </c>
      <c r="C140" s="4">
        <v>7479.9830000000002</v>
      </c>
      <c r="D140" s="4">
        <v>166844.07</v>
      </c>
      <c r="E140" s="4">
        <v>9.7190960000000004</v>
      </c>
      <c r="F140" s="4">
        <v>4.7603949999999999</v>
      </c>
    </row>
    <row r="141" spans="1:6" x14ac:dyDescent="0.2">
      <c r="A141" s="4" t="s">
        <v>410</v>
      </c>
      <c r="B141" s="4">
        <v>7479.6890000000003</v>
      </c>
      <c r="C141" s="4">
        <v>7479.9830000000002</v>
      </c>
      <c r="D141" s="4">
        <v>166844.07</v>
      </c>
      <c r="E141" s="4">
        <v>9.7190960000000004</v>
      </c>
      <c r="F141" s="4">
        <v>4.7603949999999999</v>
      </c>
    </row>
    <row r="142" spans="1:6" x14ac:dyDescent="0.2">
      <c r="A142" s="4" t="s">
        <v>411</v>
      </c>
      <c r="B142" s="4">
        <v>7479.6890000000003</v>
      </c>
      <c r="C142" s="4">
        <v>7479.9830000000002</v>
      </c>
      <c r="D142" s="4">
        <v>166844.07</v>
      </c>
      <c r="E142" s="4">
        <v>9.7190960000000004</v>
      </c>
      <c r="F142" s="4">
        <v>4.7603949999999999</v>
      </c>
    </row>
    <row r="143" spans="1:6" x14ac:dyDescent="0.2">
      <c r="A143" s="4" t="s">
        <v>412</v>
      </c>
      <c r="B143" s="4">
        <v>7479.6890000000003</v>
      </c>
      <c r="C143" s="4">
        <v>7479.9830000000002</v>
      </c>
      <c r="D143" s="4">
        <v>166844.07</v>
      </c>
      <c r="E143" s="4">
        <v>9.7190960000000004</v>
      </c>
      <c r="F143" s="4">
        <v>4.7603949999999999</v>
      </c>
    </row>
    <row r="144" spans="1:6" x14ac:dyDescent="0.2">
      <c r="A144" s="4" t="s">
        <v>413</v>
      </c>
      <c r="B144" s="4">
        <v>7502.7160000000003</v>
      </c>
      <c r="C144" s="4">
        <v>7503.0020000000004</v>
      </c>
      <c r="D144" s="4">
        <v>151652.70000000001</v>
      </c>
      <c r="E144" s="4">
        <v>9.8415160000000004</v>
      </c>
      <c r="F144" s="4">
        <v>4.3269549999999999</v>
      </c>
    </row>
    <row r="145" spans="1:6" x14ac:dyDescent="0.2">
      <c r="A145" s="4" t="s">
        <v>414</v>
      </c>
      <c r="B145" s="4">
        <v>7502.7160000000003</v>
      </c>
      <c r="C145" s="4">
        <v>7503.0020000000004</v>
      </c>
      <c r="D145" s="4">
        <v>151652.70000000001</v>
      </c>
      <c r="E145" s="4">
        <v>9.8415160000000004</v>
      </c>
      <c r="F145" s="4">
        <v>4.3269549999999999</v>
      </c>
    </row>
    <row r="146" spans="1:6" x14ac:dyDescent="0.2">
      <c r="A146" s="4" t="s">
        <v>415</v>
      </c>
      <c r="B146" s="4">
        <v>7502.7160000000003</v>
      </c>
      <c r="C146" s="4">
        <v>7503.0020000000004</v>
      </c>
      <c r="D146" s="4">
        <v>151652.70000000001</v>
      </c>
      <c r="E146" s="4">
        <v>9.8415160000000004</v>
      </c>
      <c r="F146" s="4">
        <v>4.3269549999999999</v>
      </c>
    </row>
    <row r="147" spans="1:6" x14ac:dyDescent="0.2">
      <c r="A147" s="4" t="s">
        <v>416</v>
      </c>
      <c r="B147" s="4">
        <v>7502.7160000000003</v>
      </c>
      <c r="C147" s="4">
        <v>7503.0020000000004</v>
      </c>
      <c r="D147" s="4">
        <v>151652.70000000001</v>
      </c>
      <c r="E147" s="4">
        <v>9.8415160000000004</v>
      </c>
      <c r="F147" s="4">
        <v>4.3269549999999999</v>
      </c>
    </row>
    <row r="148" spans="1:6" x14ac:dyDescent="0.2">
      <c r="A148" s="4" t="s">
        <v>417</v>
      </c>
      <c r="B148" s="4">
        <v>7447.6989999999996</v>
      </c>
      <c r="C148" s="4">
        <v>7448.0119999999997</v>
      </c>
      <c r="D148" s="4">
        <v>146360.20000000001</v>
      </c>
      <c r="E148" s="4">
        <v>10.167980999999999</v>
      </c>
      <c r="F148" s="4">
        <v>4.1759490000000001</v>
      </c>
    </row>
    <row r="149" spans="1:6" x14ac:dyDescent="0.2">
      <c r="A149" s="4" t="s">
        <v>418</v>
      </c>
      <c r="B149" s="4">
        <v>7447.6989999999996</v>
      </c>
      <c r="C149" s="4">
        <v>7448.0119999999997</v>
      </c>
      <c r="D149" s="4">
        <v>146360.20000000001</v>
      </c>
      <c r="E149" s="4">
        <v>10.167980999999999</v>
      </c>
      <c r="F149" s="4">
        <v>4.1759490000000001</v>
      </c>
    </row>
    <row r="150" spans="1:6" x14ac:dyDescent="0.2">
      <c r="A150" s="4" t="s">
        <v>419</v>
      </c>
      <c r="B150" s="4">
        <v>7447.6989999999996</v>
      </c>
      <c r="C150" s="4">
        <v>7448.0119999999997</v>
      </c>
      <c r="D150" s="4">
        <v>146360.20000000001</v>
      </c>
      <c r="E150" s="4">
        <v>10.167980999999999</v>
      </c>
      <c r="F150" s="4">
        <v>4.1759490000000001</v>
      </c>
    </row>
    <row r="151" spans="1:6" x14ac:dyDescent="0.2">
      <c r="A151" s="4" t="s">
        <v>420</v>
      </c>
      <c r="B151" s="4">
        <v>7447.6989999999996</v>
      </c>
      <c r="C151" s="4">
        <v>7448.0119999999997</v>
      </c>
      <c r="D151" s="4">
        <v>146360.20000000001</v>
      </c>
      <c r="E151" s="4">
        <v>10.167980999999999</v>
      </c>
      <c r="F151" s="4">
        <v>4.1759490000000001</v>
      </c>
    </row>
    <row r="152" spans="1:6" x14ac:dyDescent="0.2">
      <c r="A152" s="4" t="s">
        <v>421</v>
      </c>
      <c r="B152" s="4">
        <v>7447.6989999999996</v>
      </c>
      <c r="C152" s="4">
        <v>7448.0119999999997</v>
      </c>
      <c r="D152" s="4">
        <v>146360.20000000001</v>
      </c>
      <c r="E152" s="4">
        <v>10.167980999999999</v>
      </c>
      <c r="F152" s="4">
        <v>4.1759490000000001</v>
      </c>
    </row>
    <row r="153" spans="1:6" x14ac:dyDescent="0.2">
      <c r="A153" s="4" t="s">
        <v>422</v>
      </c>
      <c r="B153" s="4">
        <v>7447.6989999999996</v>
      </c>
      <c r="C153" s="4">
        <v>7448.0119999999997</v>
      </c>
      <c r="D153" s="4">
        <v>146360.20000000001</v>
      </c>
      <c r="E153" s="4">
        <v>10.167980999999999</v>
      </c>
      <c r="F153" s="4">
        <v>4.1759490000000001</v>
      </c>
    </row>
    <row r="154" spans="1:6" x14ac:dyDescent="0.2">
      <c r="A154" s="4" t="s">
        <v>423</v>
      </c>
      <c r="B154" s="4">
        <v>7447.6989999999996</v>
      </c>
      <c r="C154" s="4">
        <v>7448.0119999999997</v>
      </c>
      <c r="D154" s="4">
        <v>146360.20000000001</v>
      </c>
      <c r="E154" s="4">
        <v>10.167980999999999</v>
      </c>
      <c r="F154" s="4">
        <v>4.1759490000000001</v>
      </c>
    </row>
    <row r="155" spans="1:6" x14ac:dyDescent="0.2">
      <c r="A155" s="4" t="s">
        <v>424</v>
      </c>
      <c r="B155" s="4">
        <v>7447.6989999999996</v>
      </c>
      <c r="C155" s="4">
        <v>7448.0119999999997</v>
      </c>
      <c r="D155" s="4">
        <v>146360.20000000001</v>
      </c>
      <c r="E155" s="4">
        <v>10.167980999999999</v>
      </c>
      <c r="F155" s="4">
        <v>4.1759490000000001</v>
      </c>
    </row>
    <row r="156" spans="1:6" x14ac:dyDescent="0.2">
      <c r="A156" s="4" t="s">
        <v>425</v>
      </c>
      <c r="B156" s="4">
        <v>7447.6989999999996</v>
      </c>
      <c r="C156" s="4">
        <v>7448.0119999999997</v>
      </c>
      <c r="D156" s="4">
        <v>146360.20000000001</v>
      </c>
      <c r="E156" s="4">
        <v>10.167980999999999</v>
      </c>
      <c r="F156" s="4">
        <v>4.1759490000000001</v>
      </c>
    </row>
    <row r="157" spans="1:6" x14ac:dyDescent="0.2">
      <c r="A157" s="4" t="s">
        <v>426</v>
      </c>
      <c r="B157" s="4">
        <v>7447.6989999999996</v>
      </c>
      <c r="C157" s="4">
        <v>7448.0119999999997</v>
      </c>
      <c r="D157" s="4">
        <v>146360.20000000001</v>
      </c>
      <c r="E157" s="4">
        <v>10.167980999999999</v>
      </c>
      <c r="F157" s="4">
        <v>4.1759490000000001</v>
      </c>
    </row>
    <row r="158" spans="1:6" x14ac:dyDescent="0.2">
      <c r="A158" s="4" t="s">
        <v>427</v>
      </c>
      <c r="B158" s="4">
        <v>7447.6989999999996</v>
      </c>
      <c r="C158" s="4">
        <v>7448.0119999999997</v>
      </c>
      <c r="D158" s="4">
        <v>146360.20000000001</v>
      </c>
      <c r="E158" s="4">
        <v>10.167980999999999</v>
      </c>
      <c r="F158" s="4">
        <v>4.1759490000000001</v>
      </c>
    </row>
    <row r="159" spans="1:6" x14ac:dyDescent="0.2">
      <c r="A159" s="4" t="s">
        <v>428</v>
      </c>
      <c r="B159" s="4">
        <v>7447.6989999999996</v>
      </c>
      <c r="C159" s="4">
        <v>7448.0119999999997</v>
      </c>
      <c r="D159" s="4">
        <v>146360.20000000001</v>
      </c>
      <c r="E159" s="4">
        <v>10.167980999999999</v>
      </c>
      <c r="F159" s="4">
        <v>4.1759490000000001</v>
      </c>
    </row>
    <row r="160" spans="1:6" x14ac:dyDescent="0.2">
      <c r="A160" s="4" t="s">
        <v>429</v>
      </c>
      <c r="B160" s="4">
        <v>7401.6440000000002</v>
      </c>
      <c r="C160" s="4">
        <v>7401.9610000000002</v>
      </c>
      <c r="D160" s="4">
        <v>144865.81</v>
      </c>
      <c r="E160" s="4">
        <v>9.7780419999999992</v>
      </c>
      <c r="F160" s="4">
        <v>4.133311</v>
      </c>
    </row>
    <row r="161" spans="1:6" x14ac:dyDescent="0.2">
      <c r="A161" s="4" t="s">
        <v>430</v>
      </c>
      <c r="B161" s="4">
        <v>7401.6440000000002</v>
      </c>
      <c r="C161" s="4">
        <v>7401.9610000000002</v>
      </c>
      <c r="D161" s="4">
        <v>144865.81</v>
      </c>
      <c r="E161" s="4">
        <v>9.7780419999999992</v>
      </c>
      <c r="F161" s="4">
        <v>4.133311</v>
      </c>
    </row>
    <row r="162" spans="1:6" x14ac:dyDescent="0.2">
      <c r="A162" s="4" t="s">
        <v>431</v>
      </c>
      <c r="B162" s="4">
        <v>7401.6440000000002</v>
      </c>
      <c r="C162" s="4">
        <v>7401.9610000000002</v>
      </c>
      <c r="D162" s="4">
        <v>144865.81</v>
      </c>
      <c r="E162" s="4">
        <v>9.7780419999999992</v>
      </c>
      <c r="F162" s="4">
        <v>4.133311</v>
      </c>
    </row>
    <row r="163" spans="1:6" x14ac:dyDescent="0.2">
      <c r="A163" s="4" t="s">
        <v>432</v>
      </c>
      <c r="B163" s="4">
        <v>7401.6440000000002</v>
      </c>
      <c r="C163" s="4">
        <v>7401.9610000000002</v>
      </c>
      <c r="D163" s="4">
        <v>144865.81</v>
      </c>
      <c r="E163" s="4">
        <v>9.7780419999999992</v>
      </c>
      <c r="F163" s="4">
        <v>4.133311</v>
      </c>
    </row>
    <row r="164" spans="1:6" x14ac:dyDescent="0.2">
      <c r="A164" s="4" t="s">
        <v>433</v>
      </c>
      <c r="B164" s="4">
        <v>7077.6559999999999</v>
      </c>
      <c r="C164" s="4">
        <v>7077.9229999999998</v>
      </c>
      <c r="D164" s="4">
        <v>120486.27</v>
      </c>
      <c r="E164" s="4">
        <v>9.4199660000000005</v>
      </c>
      <c r="F164" s="4">
        <v>3.4377140000000002</v>
      </c>
    </row>
    <row r="165" spans="1:6" x14ac:dyDescent="0.2">
      <c r="A165" s="4" t="s">
        <v>434</v>
      </c>
      <c r="B165" s="4">
        <v>7077.6559999999999</v>
      </c>
      <c r="C165" s="4">
        <v>7077.9229999999998</v>
      </c>
      <c r="D165" s="4">
        <v>120486.27</v>
      </c>
      <c r="E165" s="4">
        <v>9.4199660000000005</v>
      </c>
      <c r="F165" s="4">
        <v>3.4377140000000002</v>
      </c>
    </row>
    <row r="166" spans="1:6" x14ac:dyDescent="0.2">
      <c r="A166" s="4" t="s">
        <v>435</v>
      </c>
      <c r="B166" s="4">
        <v>7077.6559999999999</v>
      </c>
      <c r="C166" s="4">
        <v>7077.9229999999998</v>
      </c>
      <c r="D166" s="4">
        <v>120486.27</v>
      </c>
      <c r="E166" s="4">
        <v>9.4199660000000005</v>
      </c>
      <c r="F166" s="4">
        <v>3.4377140000000002</v>
      </c>
    </row>
    <row r="167" spans="1:6" x14ac:dyDescent="0.2">
      <c r="A167" s="4" t="s">
        <v>436</v>
      </c>
      <c r="B167" s="4">
        <v>7385.6490000000003</v>
      </c>
      <c r="C167" s="4">
        <v>7385.9660000000003</v>
      </c>
      <c r="D167" s="4">
        <v>115166.66</v>
      </c>
      <c r="E167" s="4">
        <v>10.109024</v>
      </c>
      <c r="F167" s="4">
        <v>3.2859349999999998</v>
      </c>
    </row>
    <row r="168" spans="1:6" x14ac:dyDescent="0.2">
      <c r="A168" s="4" t="s">
        <v>437</v>
      </c>
      <c r="B168" s="4">
        <v>7385.6490000000003</v>
      </c>
      <c r="C168" s="4">
        <v>7385.9660000000003</v>
      </c>
      <c r="D168" s="4">
        <v>115166.66</v>
      </c>
      <c r="E168" s="4">
        <v>10.109024</v>
      </c>
      <c r="F168" s="4">
        <v>3.2859349999999998</v>
      </c>
    </row>
    <row r="169" spans="1:6" x14ac:dyDescent="0.2">
      <c r="A169" s="4" t="s">
        <v>438</v>
      </c>
      <c r="B169" s="4">
        <v>7385.6490000000003</v>
      </c>
      <c r="C169" s="4">
        <v>7385.9660000000003</v>
      </c>
      <c r="D169" s="4">
        <v>115166.66</v>
      </c>
      <c r="E169" s="4">
        <v>10.109024</v>
      </c>
      <c r="F169" s="4">
        <v>3.2859349999999998</v>
      </c>
    </row>
    <row r="170" spans="1:6" x14ac:dyDescent="0.2">
      <c r="A170" s="4" t="s">
        <v>439</v>
      </c>
      <c r="B170" s="4">
        <v>7385.6490000000003</v>
      </c>
      <c r="C170" s="4">
        <v>7385.9660000000003</v>
      </c>
      <c r="D170" s="4">
        <v>115166.66</v>
      </c>
      <c r="E170" s="4">
        <v>10.109024</v>
      </c>
      <c r="F170" s="4">
        <v>3.2859349999999998</v>
      </c>
    </row>
    <row r="171" spans="1:6" x14ac:dyDescent="0.2">
      <c r="A171" s="4" t="s">
        <v>440</v>
      </c>
      <c r="B171" s="4">
        <v>7094.6350000000002</v>
      </c>
      <c r="C171" s="4">
        <v>7094.9589999999998</v>
      </c>
      <c r="D171" s="4">
        <v>110326.95</v>
      </c>
      <c r="E171" s="4">
        <v>9.3610530000000001</v>
      </c>
      <c r="F171" s="4">
        <v>3.1478480000000002</v>
      </c>
    </row>
    <row r="172" spans="1:6" x14ac:dyDescent="0.2">
      <c r="A172" s="4" t="s">
        <v>441</v>
      </c>
      <c r="B172" s="4">
        <v>7094.6350000000002</v>
      </c>
      <c r="C172" s="4">
        <v>7094.9589999999998</v>
      </c>
      <c r="D172" s="4">
        <v>110326.95</v>
      </c>
      <c r="E172" s="4">
        <v>9.3610530000000001</v>
      </c>
      <c r="F172" s="4">
        <v>3.1478480000000002</v>
      </c>
    </row>
    <row r="173" spans="1:6" x14ac:dyDescent="0.2">
      <c r="A173" s="4" t="s">
        <v>442</v>
      </c>
      <c r="B173" s="4">
        <v>7094.6350000000002</v>
      </c>
      <c r="C173" s="4">
        <v>7094.9589999999998</v>
      </c>
      <c r="D173" s="4">
        <v>110326.95</v>
      </c>
      <c r="E173" s="4">
        <v>9.3610530000000001</v>
      </c>
      <c r="F173" s="4">
        <v>3.1478480000000002</v>
      </c>
    </row>
    <row r="174" spans="1:6" x14ac:dyDescent="0.2">
      <c r="A174" s="4" t="s">
        <v>443</v>
      </c>
      <c r="B174" s="4">
        <v>7094.6350000000002</v>
      </c>
      <c r="C174" s="4">
        <v>7094.9589999999998</v>
      </c>
      <c r="D174" s="4">
        <v>110326.95</v>
      </c>
      <c r="E174" s="4">
        <v>9.3610530000000001</v>
      </c>
      <c r="F174" s="4">
        <v>3.1478480000000002</v>
      </c>
    </row>
    <row r="175" spans="1:6" x14ac:dyDescent="0.2">
      <c r="A175" s="4" t="s">
        <v>444</v>
      </c>
      <c r="B175" s="4">
        <v>7094.6350000000002</v>
      </c>
      <c r="C175" s="4">
        <v>7094.9589999999998</v>
      </c>
      <c r="D175" s="4">
        <v>110326.95</v>
      </c>
      <c r="E175" s="4">
        <v>9.3610530000000001</v>
      </c>
      <c r="F175" s="4">
        <v>3.1478480000000002</v>
      </c>
    </row>
    <row r="176" spans="1:6" x14ac:dyDescent="0.2">
      <c r="A176" s="4" t="s">
        <v>445</v>
      </c>
      <c r="B176" s="4">
        <v>7094.6350000000002</v>
      </c>
      <c r="C176" s="4">
        <v>7094.9589999999998</v>
      </c>
      <c r="D176" s="4">
        <v>110326.95</v>
      </c>
      <c r="E176" s="4">
        <v>9.3610530000000001</v>
      </c>
      <c r="F176" s="4">
        <v>3.1478480000000002</v>
      </c>
    </row>
    <row r="177" spans="1:6" x14ac:dyDescent="0.2">
      <c r="A177" s="4" t="s">
        <v>446</v>
      </c>
      <c r="B177" s="4">
        <v>7518.7110000000002</v>
      </c>
      <c r="C177" s="4">
        <v>7518.9939999999997</v>
      </c>
      <c r="D177" s="4">
        <v>20216.810000000001</v>
      </c>
      <c r="E177" s="4">
        <v>9.8687190000000005</v>
      </c>
      <c r="F177" s="4">
        <v>0.57682599999999995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non filtered</vt:lpstr>
      <vt:lpstr>sheet2</vt:lpstr>
      <vt:lpstr>105 U nucleoside start</vt:lpstr>
      <vt:lpstr>105 U internal start</vt:lpstr>
      <vt:lpstr>triphosphate start</vt:lpstr>
      <vt:lpstr>triphosphate_start_59U</vt:lpstr>
      <vt:lpstr>20U_76A</vt:lpstr>
      <vt:lpstr>nucleoside_start_charge1</vt:lpstr>
      <vt:lpstr>nucleoside_start_Na</vt:lpstr>
      <vt:lpstr>internal_start_Na</vt:lpstr>
      <vt:lpstr>theoretical_ladder_polyU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Lin, Shangsi</cp:lastModifiedBy>
  <dcterms:created xsi:type="dcterms:W3CDTF">2025-11-04T22:05:18Z</dcterms:created>
  <dcterms:modified xsi:type="dcterms:W3CDTF">2025-12-12T19:44:07Z</dcterms:modified>
</cp:coreProperties>
</file>